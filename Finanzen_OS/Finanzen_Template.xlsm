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8.xml" ContentType="application/vnd.openxmlformats-officedocument.drawing+xml"/>
  <Override PartName="/xl/tables/table9.xml" ContentType="application/vnd.openxmlformats-officedocument.spreadsheetml.table+xml"/>
  <Override PartName="/xl/drawings/drawing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DieseArbeitsmappe" defaultThemeVersion="202300"/>
  <mc:AlternateContent xmlns:mc="http://schemas.openxmlformats.org/markup-compatibility/2006">
    <mc:Choice Requires="x15">
      <x15ac:absPath xmlns:x15ac="http://schemas.microsoft.com/office/spreadsheetml/2010/11/ac" url="C:\Users\kevin\Git\Finanzen_OS\"/>
    </mc:Choice>
  </mc:AlternateContent>
  <xr:revisionPtr revIDLastSave="0" documentId="13_ncr:1_{4318B690-A393-44A6-B2B4-8608131FA3F6}" xr6:coauthVersionLast="47" xr6:coauthVersionMax="47" xr10:uidLastSave="{00000000-0000-0000-0000-000000000000}"/>
  <bookViews>
    <workbookView xWindow="-96" yWindow="0" windowWidth="20676" windowHeight="16656" tabRatio="706" firstSheet="2" activeTab="4" xr2:uid="{687A97CA-6638-4F56-B9B7-CAFA5F1FE400}"/>
  </bookViews>
  <sheets>
    <sheet name="Home" sheetId="14" r:id="rId1"/>
    <sheet name="Data" sheetId="10" state="hidden" r:id="rId2"/>
    <sheet name="Dropdown Data" sheetId="12" r:id="rId3"/>
    <sheet name="Calculations" sheetId="11" state="hidden" r:id="rId4"/>
    <sheet name="Import" sheetId="22" r:id="rId5"/>
    <sheet name="Settings" sheetId="1" r:id="rId6"/>
    <sheet name="Budget Planning" sheetId="9" r:id="rId7"/>
    <sheet name="Budget Tracking" sheetId="8" r:id="rId8"/>
    <sheet name="Budget Dashboard" sheetId="7" r:id="rId9"/>
    <sheet name="Net Worth" sheetId="13" r:id="rId10"/>
    <sheet name="Cash" sheetId="20" r:id="rId11"/>
    <sheet name="ETF" sheetId="18" r:id="rId12"/>
    <sheet name="Bonds" sheetId="21" r:id="rId13"/>
    <sheet name="Krypto" sheetId="6" r:id="rId14"/>
    <sheet name="Housing" sheetId="19" r:id="rId15"/>
  </sheets>
  <externalReferences>
    <externalReference r:id="rId16"/>
  </externalReferences>
  <definedNames>
    <definedName name="_xleta.COUNTA"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T" hidden="1" xlm="1">#NAME?</definedName>
    <definedName name="Ausgaben_Total_Zeile">ROW('[1]Budget Planning'!$C$31)</definedName>
    <definedName name="budget" localSheetId="8">'Budget Dashboard'!$L1</definedName>
    <definedName name="budget_range" localSheetId="8">'Budget Dashboard'!$Q1</definedName>
    <definedName name="budget_rank" localSheetId="8">'Budget Dashboard'!$R1</definedName>
    <definedName name="cc_budget" localSheetId="3">Calculations!$J1</definedName>
    <definedName name="cc_delta" localSheetId="3">Calculations!$K1</definedName>
    <definedName name="cc_in_focus" localSheetId="3">Calculations!$F1</definedName>
    <definedName name="cc_month_number" localSheetId="3">Calculations!$E1</definedName>
    <definedName name="cc_show_remaining_budget" localSheetId="3">Calculations!$H1</definedName>
    <definedName name="cc_show_type" localSheetId="3">Calculations!$G1</definedName>
    <definedName name="cc_tracked" localSheetId="3">Calculations!$I1</definedName>
    <definedName name="cc_type" localSheetId="3">Calculations!$D1</definedName>
    <definedName name="comb_rank" localSheetId="8">'Budget Dashboard'!$S1</definedName>
    <definedName name="comb_rank_norm" localSheetId="8">'Budget Dashboard'!$U1</definedName>
    <definedName name="comb_rank_norm_run_range" localSheetId="8">'Budget Dashboard'!$V1</definedName>
    <definedName name="comb_rank_range" localSheetId="8">'Budget Dashboard'!$T1</definedName>
    <definedName name="comb_rank_unique" localSheetId="8">'Budget Dashboard'!$W1</definedName>
    <definedName name="current_date">TODAY()</definedName>
    <definedName name="Datenschnitt_Type1">#N/A</definedName>
    <definedName name="Einkommen_Header_Row">ROW(Einkommen[[#Headers],[Einkommen]])</definedName>
    <definedName name="Einkommen_Header_Zeile">ROW([1]!Einkommen[[#Headers],[Einkommen]])</definedName>
    <definedName name="Einkommen_Max_Row">MAX(ROW(Einkommen[]))</definedName>
    <definedName name="Einkommen_Min_Row">MIN(ROW(Einkommen[]))</definedName>
    <definedName name="Einkommen_Total_Row">ROW('Budget Planning'!$C$20)</definedName>
    <definedName name="Einkommen_Total_Zeile">ROW('[1]Budget Planning'!$C$20)</definedName>
    <definedName name="Einkommens_Verschiebung_Starttag">Settings!$F$16</definedName>
    <definedName name="Einkommens_Verschiebung_Status">Settings!$F$14</definedName>
    <definedName name="ExterneDaten_1" localSheetId="4">Import!#REF!</definedName>
    <definedName name="ExterneDaten_10" localSheetId="4">Import!#REF!</definedName>
    <definedName name="ExterneDaten_11" localSheetId="4">Import!#REF!</definedName>
    <definedName name="ExterneDaten_12" localSheetId="4">Import!#REF!</definedName>
    <definedName name="ExterneDaten_13" localSheetId="4">Import!#REF!</definedName>
    <definedName name="ExterneDaten_14" localSheetId="4">Import!#REF!</definedName>
    <definedName name="ExterneDaten_15" localSheetId="4">Import!#REF!</definedName>
    <definedName name="ExterneDaten_2" localSheetId="4">Import!#REF!</definedName>
    <definedName name="ExterneDaten_3" localSheetId="4">Import!#REF!</definedName>
    <definedName name="ExterneDaten_4" localSheetId="4">Import!#REF!</definedName>
    <definedName name="ExterneDaten_5" localSheetId="4">Import!#REF!</definedName>
    <definedName name="ExterneDaten_6" localSheetId="4">Import!#REF!</definedName>
    <definedName name="ExterneDaten_7" localSheetId="4">Import!#REF!</definedName>
    <definedName name="ExterneDaten_8" localSheetId="4">Import!#REF!</definedName>
    <definedName name="ExterneDaten_9" localSheetId="4">Import!#REF!</definedName>
    <definedName name="Fixkosten_Header_Row">ROW(Fixkosten[[#Headers],[Fixkosten]])</definedName>
    <definedName name="Fixkosten_Max_Row">MAX(ROW(Fixkosten[]))</definedName>
    <definedName name="Fixkosten_Min_Row">MIN(ROW(Fixkosten[]))</definedName>
    <definedName name="Fixkosten_Total_Row">ROW('Budget Planning'!$C$33)</definedName>
    <definedName name="header_row_id" localSheetId="8">'Budget Dashboard'!$D1</definedName>
    <definedName name="Heutiger_Tag">Calculations!$D$7</definedName>
    <definedName name="Investment_Header_Row">ROW(Investment[[#Headers],[Investment]])</definedName>
    <definedName name="Investment_Max_Row">MAX(ROW(Investment[]))</definedName>
    <definedName name="Investment_Min_Row">MIN(ROW(Investment[]))</definedName>
    <definedName name="Investment_Total_Row">ROW('Budget Planning'!$C$59)</definedName>
    <definedName name="Investments_Total_Zeile">ROW('[1]Budget Planning'!$C$52)</definedName>
    <definedName name="is_cat" localSheetId="8">'Budget Dashboard'!$F1</definedName>
    <definedName name="is_empty" localSheetId="8">'Budget Dashboard'!$H1</definedName>
    <definedName name="is_header" localSheetId="8">'Budget Dashboard'!$E1</definedName>
    <definedName name="is_total" localSheetId="8">'Budget Dashboard'!$G1</definedName>
    <definedName name="item" localSheetId="8">'Budget Dashboard'!$J1</definedName>
    <definedName name="out_budget" localSheetId="8">'Budget Dashboard'!$AA1</definedName>
    <definedName name="out_percebtage_completed" localSheetId="8">'Budget Dashboard'!$AB1</definedName>
    <definedName name="out_tracked" localSheetId="8">'Budget Dashboard'!$Z1</definedName>
    <definedName name="row_id" localSheetId="8">'Budget Dashboard'!$C1</definedName>
    <definedName name="savings_rate_calculation_type">Settings!$F$20</definedName>
    <definedName name="selected_period">Calculations!$D$20</definedName>
    <definedName name="selected_period_display">Calculations!$D$21</definedName>
    <definedName name="selected_year">Calculations!$D$19</definedName>
    <definedName name="sort_max_row" localSheetId="8">'Budget Dashboard'!$N1</definedName>
    <definedName name="sort_min_row" localSheetId="8">'Budget Dashboard'!$M1</definedName>
    <definedName name="sorted_row_id__Lookup" localSheetId="8">'Budget Dashboard'!$X1</definedName>
    <definedName name="start_jahr">Settings!$F$7</definedName>
    <definedName name="Status_KPI_Berechnung">'Dropdown Data'!$B$6:$B$7</definedName>
    <definedName name="Sub_Diagramm_Tbl">Calculations!$AA$54:$AB$58</definedName>
    <definedName name="tracked" localSheetId="8">'Budget Dashboard'!$K1</definedName>
    <definedName name="tracked_range" localSheetId="8">'Budget Dashboard'!$O1</definedName>
    <definedName name="tracked_rank" localSheetId="8">'Budget Dashboard'!$P1</definedName>
    <definedName name="type" localSheetId="8">'Budget Dashboard'!$I1</definedName>
    <definedName name="Variablekosten_Header_Row">ROW(Variablekosten[[#Headers],[Variablekosten]])</definedName>
    <definedName name="Variablekosten_Max_Row">MAX(ROW(Variablekosten[]))</definedName>
    <definedName name="Variablekosten_Min_Zeile">MIN(ROW(Variablekosten[]))</definedName>
    <definedName name="Variablekosten_Total_row">ROW('Budget Planning'!$C$46)</definedName>
  </definedNames>
  <calcPr calcId="191028"/>
  <pivotCaches>
    <pivotCache cacheId="5"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 i="8" l="1" a="1"/>
  <c r="J12" i="8" s="1"/>
  <c r="K12" i="8"/>
  <c r="D8" i="11"/>
  <c r="D7" i="11" a="1"/>
  <c r="D7" i="11" s="1"/>
  <c r="Q10" i="9"/>
  <c r="Q11" i="9"/>
  <c r="Q12" i="9"/>
  <c r="Q23" i="9"/>
  <c r="Q24" i="9"/>
  <c r="Q25" i="9"/>
  <c r="Q26" i="9"/>
  <c r="Q36" i="9"/>
  <c r="Q37" i="9"/>
  <c r="Q38" i="9"/>
  <c r="Q39" i="9"/>
  <c r="Q40" i="9"/>
  <c r="Q49" i="9"/>
  <c r="Q50" i="9"/>
  <c r="Q51" i="9"/>
  <c r="H52" i="11"/>
  <c r="H57" i="11"/>
  <c r="H58" i="11"/>
  <c r="H59" i="11"/>
  <c r="H60" i="11"/>
  <c r="H62" i="11"/>
  <c r="H63" i="11"/>
  <c r="H64" i="11"/>
  <c r="H65" i="11"/>
  <c r="H67" i="11"/>
  <c r="H68" i="11"/>
  <c r="H69" i="11"/>
  <c r="H70" i="11"/>
  <c r="H72" i="11"/>
  <c r="H73" i="11"/>
  <c r="H74" i="11"/>
  <c r="H75" i="11"/>
  <c r="H77" i="11"/>
  <c r="H78" i="11"/>
  <c r="H79" i="11"/>
  <c r="H80" i="11"/>
  <c r="H82" i="11"/>
  <c r="H83" i="11"/>
  <c r="H84" i="11"/>
  <c r="H85" i="11"/>
  <c r="H87" i="11"/>
  <c r="H88" i="11"/>
  <c r="H89" i="11"/>
  <c r="H90" i="11"/>
  <c r="H92" i="11"/>
  <c r="H93" i="11"/>
  <c r="H94" i="11"/>
  <c r="H95" i="11"/>
  <c r="H97" i="11"/>
  <c r="H98" i="11"/>
  <c r="H99" i="11"/>
  <c r="H100" i="11"/>
  <c r="H102" i="11"/>
  <c r="H103" i="11"/>
  <c r="H104" i="11"/>
  <c r="H105" i="11"/>
  <c r="H107" i="11"/>
  <c r="H108" i="11"/>
  <c r="H109" i="11"/>
  <c r="H110" i="11"/>
  <c r="H53" i="11"/>
  <c r="H54" i="11"/>
  <c r="H55" i="11"/>
  <c r="G57" i="11"/>
  <c r="G58" i="11"/>
  <c r="G59" i="11"/>
  <c r="G60" i="11"/>
  <c r="G62" i="11"/>
  <c r="G63" i="11"/>
  <c r="G64" i="11"/>
  <c r="G65" i="11"/>
  <c r="G67" i="11"/>
  <c r="G68" i="11"/>
  <c r="G69" i="11"/>
  <c r="G70" i="11"/>
  <c r="G72" i="11"/>
  <c r="G73" i="11"/>
  <c r="G74" i="11"/>
  <c r="G75" i="11"/>
  <c r="G77" i="11"/>
  <c r="G78" i="11"/>
  <c r="G79" i="11"/>
  <c r="G80" i="11"/>
  <c r="G82" i="11"/>
  <c r="G83" i="11"/>
  <c r="G84" i="11"/>
  <c r="G85" i="11"/>
  <c r="G87" i="11"/>
  <c r="G88" i="11"/>
  <c r="G89" i="11"/>
  <c r="G90" i="11"/>
  <c r="G92" i="11"/>
  <c r="G93" i="11"/>
  <c r="G94" i="11"/>
  <c r="G95" i="11"/>
  <c r="G97" i="11"/>
  <c r="G98" i="11"/>
  <c r="G99" i="11"/>
  <c r="G100" i="11"/>
  <c r="G102" i="11"/>
  <c r="G103" i="11"/>
  <c r="G104" i="11"/>
  <c r="G105" i="11"/>
  <c r="G107" i="11"/>
  <c r="G108" i="11"/>
  <c r="G109" i="11"/>
  <c r="G110" i="11"/>
  <c r="G55" i="11"/>
  <c r="G54" i="11"/>
  <c r="G53" i="11"/>
  <c r="G52" i="11"/>
  <c r="Q37" i="11" a="1"/>
  <c r="Q37" i="11" s="1"/>
  <c r="Q38" i="11" a="1"/>
  <c r="Q38" i="11" s="1"/>
  <c r="Q39" i="11" a="1"/>
  <c r="Q39" i="11" s="1"/>
  <c r="M39" i="11" a="1"/>
  <c r="M39" i="11" s="1"/>
  <c r="I38" i="11" a="1"/>
  <c r="I38" i="11" s="1"/>
  <c r="I39" i="11" a="1"/>
  <c r="I39" i="11" s="1"/>
  <c r="E37" i="11" a="1"/>
  <c r="E37" i="11" s="1"/>
  <c r="E38" i="11" a="1"/>
  <c r="E38" i="11" s="1"/>
  <c r="AI22" i="7"/>
  <c r="C13" i="7" a="1"/>
  <c r="C13" i="7" s="1"/>
  <c r="D7" i="12"/>
  <c r="D8" i="12" s="1"/>
  <c r="D9" i="12" s="1"/>
  <c r="D10" i="12" s="1"/>
  <c r="D11" i="12" s="1"/>
  <c r="D12" i="12" s="1"/>
  <c r="D13" i="12" s="1"/>
  <c r="D14" i="12" s="1"/>
  <c r="D15" i="12" s="1"/>
  <c r="D16" i="12" s="1"/>
  <c r="D17" i="12" s="1"/>
  <c r="D18" i="12" s="1"/>
  <c r="D19" i="12" s="1"/>
  <c r="D20" i="12" s="1"/>
  <c r="D21" i="12" s="1"/>
  <c r="D10" i="11"/>
  <c r="FA58" i="9"/>
  <c r="FA57" i="9"/>
  <c r="FA56" i="9"/>
  <c r="FA55" i="9"/>
  <c r="FA54" i="9"/>
  <c r="FA53" i="9"/>
  <c r="FA52" i="9"/>
  <c r="FA51" i="9"/>
  <c r="FA50" i="9"/>
  <c r="FA49" i="9"/>
  <c r="FA45" i="9"/>
  <c r="FA44" i="9"/>
  <c r="FA43" i="9"/>
  <c r="FA42" i="9"/>
  <c r="FA41" i="9"/>
  <c r="FA40" i="9"/>
  <c r="FA39" i="9"/>
  <c r="FA38" i="9"/>
  <c r="FA37" i="9"/>
  <c r="FA36" i="9"/>
  <c r="FA32" i="9"/>
  <c r="FA31" i="9"/>
  <c r="FA30" i="9"/>
  <c r="FA29" i="9"/>
  <c r="FA28" i="9"/>
  <c r="FA27" i="9"/>
  <c r="FA26" i="9"/>
  <c r="FA25" i="9"/>
  <c r="FA24" i="9"/>
  <c r="FA23" i="9"/>
  <c r="FA19" i="9"/>
  <c r="FA18" i="9"/>
  <c r="FA17" i="9"/>
  <c r="FA16" i="9"/>
  <c r="FA15" i="9"/>
  <c r="FA14" i="9"/>
  <c r="FA13" i="9"/>
  <c r="FA12" i="9"/>
  <c r="FA11" i="9"/>
  <c r="FA10" i="9"/>
  <c r="AS10" i="9"/>
  <c r="BG10" i="9"/>
  <c r="BU10" i="9"/>
  <c r="CI10" i="9"/>
  <c r="CW10" i="9"/>
  <c r="DK10" i="9"/>
  <c r="DY10" i="9"/>
  <c r="EM10" i="9"/>
  <c r="AS11" i="9"/>
  <c r="BG11" i="9"/>
  <c r="BU11" i="9"/>
  <c r="CI11" i="9"/>
  <c r="CW11" i="9"/>
  <c r="DK11" i="9"/>
  <c r="DY11" i="9"/>
  <c r="EM11" i="9"/>
  <c r="AS12" i="9"/>
  <c r="BG12" i="9"/>
  <c r="BU12" i="9"/>
  <c r="CI12" i="9"/>
  <c r="CW12" i="9"/>
  <c r="DK12" i="9"/>
  <c r="DY12" i="9"/>
  <c r="EM12" i="9"/>
  <c r="AS13" i="9"/>
  <c r="BG13" i="9"/>
  <c r="BU13" i="9"/>
  <c r="CI13" i="9"/>
  <c r="CW13" i="9"/>
  <c r="DK13" i="9"/>
  <c r="DY13" i="9"/>
  <c r="EM13" i="9"/>
  <c r="AS14" i="9"/>
  <c r="BG14" i="9"/>
  <c r="BU14" i="9"/>
  <c r="CI14" i="9"/>
  <c r="CW14" i="9"/>
  <c r="DK14" i="9"/>
  <c r="DY14" i="9"/>
  <c r="EM14" i="9"/>
  <c r="AS15" i="9"/>
  <c r="BG15" i="9"/>
  <c r="BU15" i="9"/>
  <c r="CI15" i="9"/>
  <c r="CW15" i="9"/>
  <c r="DK15" i="9"/>
  <c r="DY15" i="9"/>
  <c r="EM15" i="9"/>
  <c r="AS16" i="9"/>
  <c r="BG16" i="9"/>
  <c r="BU16" i="9"/>
  <c r="CI16" i="9"/>
  <c r="CW16" i="9"/>
  <c r="DK16" i="9"/>
  <c r="DY16" i="9"/>
  <c r="EM16" i="9"/>
  <c r="AS17" i="9"/>
  <c r="BG17" i="9"/>
  <c r="BU17" i="9"/>
  <c r="CI17" i="9"/>
  <c r="CW17" i="9"/>
  <c r="DK17" i="9"/>
  <c r="DY17" i="9"/>
  <c r="EM17" i="9"/>
  <c r="AS18" i="9"/>
  <c r="BG18" i="9"/>
  <c r="BU18" i="9"/>
  <c r="CI18" i="9"/>
  <c r="CW18" i="9"/>
  <c r="DK18" i="9"/>
  <c r="DY18" i="9"/>
  <c r="EM18" i="9"/>
  <c r="AS19" i="9"/>
  <c r="BG19" i="9"/>
  <c r="BU19" i="9"/>
  <c r="CI19" i="9"/>
  <c r="CW19" i="9"/>
  <c r="DK19" i="9"/>
  <c r="DY19" i="9"/>
  <c r="EM19" i="9"/>
  <c r="AS23" i="9"/>
  <c r="BG23" i="9"/>
  <c r="BU23" i="9"/>
  <c r="CI23" i="9"/>
  <c r="CW23" i="9"/>
  <c r="DK23" i="9"/>
  <c r="DY23" i="9"/>
  <c r="EM23" i="9"/>
  <c r="AS24" i="9"/>
  <c r="BG24" i="9"/>
  <c r="BU24" i="9"/>
  <c r="CI24" i="9"/>
  <c r="CW24" i="9"/>
  <c r="DK24" i="9"/>
  <c r="DY24" i="9"/>
  <c r="EM24" i="9"/>
  <c r="AS25" i="9"/>
  <c r="BG25" i="9"/>
  <c r="BU25" i="9"/>
  <c r="CI25" i="9"/>
  <c r="CW25" i="9"/>
  <c r="DK25" i="9"/>
  <c r="DY25" i="9"/>
  <c r="EM25" i="9"/>
  <c r="AS26" i="9"/>
  <c r="BG26" i="9"/>
  <c r="BU26" i="9"/>
  <c r="CI26" i="9"/>
  <c r="CW26" i="9"/>
  <c r="DK26" i="9"/>
  <c r="DY26" i="9"/>
  <c r="EM26" i="9"/>
  <c r="AS27" i="9"/>
  <c r="BG27" i="9"/>
  <c r="BU27" i="9"/>
  <c r="CI27" i="9"/>
  <c r="CW27" i="9"/>
  <c r="DK27" i="9"/>
  <c r="DY27" i="9"/>
  <c r="EM27" i="9"/>
  <c r="AS28" i="9"/>
  <c r="BG28" i="9"/>
  <c r="BU28" i="9"/>
  <c r="CI28" i="9"/>
  <c r="CW28" i="9"/>
  <c r="DK28" i="9"/>
  <c r="DY28" i="9"/>
  <c r="EM28" i="9"/>
  <c r="AS29" i="9"/>
  <c r="BG29" i="9"/>
  <c r="BU29" i="9"/>
  <c r="CI29" i="9"/>
  <c r="CW29" i="9"/>
  <c r="DK29" i="9"/>
  <c r="DY29" i="9"/>
  <c r="EM29" i="9"/>
  <c r="AS30" i="9"/>
  <c r="BG30" i="9"/>
  <c r="BU30" i="9"/>
  <c r="CI30" i="9"/>
  <c r="CW30" i="9"/>
  <c r="DK30" i="9"/>
  <c r="DY30" i="9"/>
  <c r="EM30" i="9"/>
  <c r="AS31" i="9"/>
  <c r="BG31" i="9"/>
  <c r="BU31" i="9"/>
  <c r="CI31" i="9"/>
  <c r="CW31" i="9"/>
  <c r="DK31" i="9"/>
  <c r="DY31" i="9"/>
  <c r="EM31" i="9"/>
  <c r="AS32" i="9"/>
  <c r="BG32" i="9"/>
  <c r="BU32" i="9"/>
  <c r="CI32" i="9"/>
  <c r="CW32" i="9"/>
  <c r="DK32" i="9"/>
  <c r="DY32" i="9"/>
  <c r="EM32" i="9"/>
  <c r="AS36" i="9"/>
  <c r="BG36" i="9"/>
  <c r="BU36" i="9"/>
  <c r="CI36" i="9"/>
  <c r="CW36" i="9"/>
  <c r="DK36" i="9"/>
  <c r="DY36" i="9"/>
  <c r="EM36" i="9"/>
  <c r="AS37" i="9"/>
  <c r="BG37" i="9"/>
  <c r="BU37" i="9"/>
  <c r="CI37" i="9"/>
  <c r="CW37" i="9"/>
  <c r="DK37" i="9"/>
  <c r="DY37" i="9"/>
  <c r="EM37" i="9"/>
  <c r="AS38" i="9"/>
  <c r="BG38" i="9"/>
  <c r="BU38" i="9"/>
  <c r="CI38" i="9"/>
  <c r="CW38" i="9"/>
  <c r="DK38" i="9"/>
  <c r="DY38" i="9"/>
  <c r="EM38" i="9"/>
  <c r="AS39" i="9"/>
  <c r="BG39" i="9"/>
  <c r="BU39" i="9"/>
  <c r="CI39" i="9"/>
  <c r="CW39" i="9"/>
  <c r="DK39" i="9"/>
  <c r="DY39" i="9"/>
  <c r="EM39" i="9"/>
  <c r="AS40" i="9"/>
  <c r="BG40" i="9"/>
  <c r="BU40" i="9"/>
  <c r="CI40" i="9"/>
  <c r="CW40" i="9"/>
  <c r="DK40" i="9"/>
  <c r="DY40" i="9"/>
  <c r="EM40" i="9"/>
  <c r="AS41" i="9"/>
  <c r="BG41" i="9"/>
  <c r="BU41" i="9"/>
  <c r="CI41" i="9"/>
  <c r="CW41" i="9"/>
  <c r="DK41" i="9"/>
  <c r="DY41" i="9"/>
  <c r="EM41" i="9"/>
  <c r="AS42" i="9"/>
  <c r="BG42" i="9"/>
  <c r="BU42" i="9"/>
  <c r="CI42" i="9"/>
  <c r="CW42" i="9"/>
  <c r="DK42" i="9"/>
  <c r="DY42" i="9"/>
  <c r="EM42" i="9"/>
  <c r="AS43" i="9"/>
  <c r="BG43" i="9"/>
  <c r="BU43" i="9"/>
  <c r="CI43" i="9"/>
  <c r="CW43" i="9"/>
  <c r="DK43" i="9"/>
  <c r="DY43" i="9"/>
  <c r="EM43" i="9"/>
  <c r="AS44" i="9"/>
  <c r="BG44" i="9"/>
  <c r="BU44" i="9"/>
  <c r="CI44" i="9"/>
  <c r="CW44" i="9"/>
  <c r="DK44" i="9"/>
  <c r="DY44" i="9"/>
  <c r="EM44" i="9"/>
  <c r="AS45" i="9"/>
  <c r="BG45" i="9"/>
  <c r="BU45" i="9"/>
  <c r="CI45" i="9"/>
  <c r="CW45" i="9"/>
  <c r="DK45" i="9"/>
  <c r="DY45" i="9"/>
  <c r="EM45" i="9"/>
  <c r="AS49" i="9"/>
  <c r="BG49" i="9"/>
  <c r="BU49" i="9"/>
  <c r="CI49" i="9"/>
  <c r="CW49" i="9"/>
  <c r="DK49" i="9"/>
  <c r="DY49" i="9"/>
  <c r="EM49" i="9"/>
  <c r="AS50" i="9"/>
  <c r="BG50" i="9"/>
  <c r="BU50" i="9"/>
  <c r="CI50" i="9"/>
  <c r="CW50" i="9"/>
  <c r="DK50" i="9"/>
  <c r="DY50" i="9"/>
  <c r="EM50" i="9"/>
  <c r="AS51" i="9"/>
  <c r="BG51" i="9"/>
  <c r="BU51" i="9"/>
  <c r="CI51" i="9"/>
  <c r="CW51" i="9"/>
  <c r="DK51" i="9"/>
  <c r="DY51" i="9"/>
  <c r="EM51" i="9"/>
  <c r="AS52" i="9"/>
  <c r="BG52" i="9"/>
  <c r="BU52" i="9"/>
  <c r="CI52" i="9"/>
  <c r="CW52" i="9"/>
  <c r="DK52" i="9"/>
  <c r="DY52" i="9"/>
  <c r="EM52" i="9"/>
  <c r="AS53" i="9"/>
  <c r="BG53" i="9"/>
  <c r="BU53" i="9"/>
  <c r="CI53" i="9"/>
  <c r="CW53" i="9"/>
  <c r="DK53" i="9"/>
  <c r="DY53" i="9"/>
  <c r="EM53" i="9"/>
  <c r="AS54" i="9"/>
  <c r="BG54" i="9"/>
  <c r="BU54" i="9"/>
  <c r="CI54" i="9"/>
  <c r="CW54" i="9"/>
  <c r="DK54" i="9"/>
  <c r="DY54" i="9"/>
  <c r="EM54" i="9"/>
  <c r="AS55" i="9"/>
  <c r="BG55" i="9"/>
  <c r="BU55" i="9"/>
  <c r="CI55" i="9"/>
  <c r="CW55" i="9"/>
  <c r="DK55" i="9"/>
  <c r="DY55" i="9"/>
  <c r="EM55" i="9"/>
  <c r="AS56" i="9"/>
  <c r="BG56" i="9"/>
  <c r="BU56" i="9"/>
  <c r="CI56" i="9"/>
  <c r="CW56" i="9"/>
  <c r="DK56" i="9"/>
  <c r="DY56" i="9"/>
  <c r="EM56" i="9"/>
  <c r="AS57" i="9"/>
  <c r="BG57" i="9"/>
  <c r="BU57" i="9"/>
  <c r="CI57" i="9"/>
  <c r="CW57" i="9"/>
  <c r="DK57" i="9"/>
  <c r="DY57" i="9"/>
  <c r="EM57" i="9"/>
  <c r="AS58" i="9"/>
  <c r="BG58" i="9"/>
  <c r="BU58" i="9"/>
  <c r="CI58" i="9"/>
  <c r="CW58" i="9"/>
  <c r="DK58" i="9"/>
  <c r="DY58" i="9"/>
  <c r="EM58" i="9"/>
  <c r="AE10" i="9"/>
  <c r="AE11" i="9"/>
  <c r="AE12" i="9"/>
  <c r="AE13" i="9"/>
  <c r="AE14" i="9"/>
  <c r="AE15" i="9"/>
  <c r="AE16" i="9"/>
  <c r="AE17" i="9"/>
  <c r="AE18" i="9"/>
  <c r="AE19" i="9"/>
  <c r="AE23" i="9"/>
  <c r="AE24" i="9"/>
  <c r="AE25" i="9"/>
  <c r="AE26" i="9"/>
  <c r="AE27" i="9"/>
  <c r="AE28" i="9"/>
  <c r="AE29" i="9"/>
  <c r="AE30" i="9"/>
  <c r="AE31" i="9"/>
  <c r="AE32" i="9"/>
  <c r="AE36" i="9"/>
  <c r="AE37" i="9"/>
  <c r="AE38" i="9"/>
  <c r="AE39" i="9"/>
  <c r="AE40" i="9"/>
  <c r="AE41" i="9"/>
  <c r="AE42" i="9"/>
  <c r="AE43" i="9"/>
  <c r="AE44" i="9"/>
  <c r="AE45" i="9"/>
  <c r="AE49" i="9"/>
  <c r="AE50" i="9"/>
  <c r="AE51" i="9"/>
  <c r="AE52" i="9"/>
  <c r="AE53" i="9"/>
  <c r="AE54" i="9"/>
  <c r="AE55" i="9"/>
  <c r="AE56" i="9"/>
  <c r="AE57" i="9"/>
  <c r="AE58" i="9"/>
  <c r="Q58" i="9"/>
  <c r="Q57" i="9"/>
  <c r="Q56" i="9"/>
  <c r="Q55" i="9"/>
  <c r="Q54" i="9"/>
  <c r="Q53" i="9"/>
  <c r="Q52" i="9"/>
  <c r="Q45" i="9"/>
  <c r="Q44" i="9"/>
  <c r="Q43" i="9"/>
  <c r="Q42" i="9"/>
  <c r="Q41" i="9"/>
  <c r="Q32" i="9"/>
  <c r="Q31" i="9"/>
  <c r="Q30" i="9"/>
  <c r="Q29" i="9"/>
  <c r="Q28" i="9"/>
  <c r="Q27" i="9"/>
  <c r="Q13" i="9"/>
  <c r="Q14" i="9"/>
  <c r="Q15" i="9"/>
  <c r="Q16" i="9"/>
  <c r="Q17" i="9"/>
  <c r="Q18" i="9"/>
  <c r="Q19" i="9"/>
  <c r="E5" i="9"/>
  <c r="I35" i="9" s="1"/>
  <c r="AP22" i="7"/>
  <c r="AI36" i="7"/>
  <c r="AP36" i="7"/>
  <c r="I45" i="7" a="1"/>
  <c r="I45" i="7" s="1"/>
  <c r="I49" i="7" a="1"/>
  <c r="I49" i="7" s="1"/>
  <c r="BJ59" i="9" a="1"/>
  <c r="DH33" i="9" a="1"/>
  <c r="P33" i="9" a="1"/>
  <c r="DM33" i="9" a="1"/>
  <c r="CS59" i="9" a="1"/>
  <c r="DQ46" i="9" a="1"/>
  <c r="DS33" i="9" a="1"/>
  <c r="EK46" i="9" a="1"/>
  <c r="BX33" i="9" a="1"/>
  <c r="DC20" i="9" a="1"/>
  <c r="EM46" i="9" a="1"/>
  <c r="AX59" i="9" a="1"/>
  <c r="AK33" i="9" a="1"/>
  <c r="DB46" i="9" a="1"/>
  <c r="H46" i="9" a="1"/>
  <c r="DC33" i="9" a="1"/>
  <c r="CG20" i="9" a="1"/>
  <c r="AV46" i="9" a="1"/>
  <c r="DU33" i="9" a="1"/>
  <c r="DD46" i="9" a="1"/>
  <c r="DK33" i="9" a="1"/>
  <c r="BC33" i="9" a="1"/>
  <c r="DH46" i="9" a="1"/>
  <c r="CQ46" i="9" a="1"/>
  <c r="BG20" i="9" a="1"/>
  <c r="EZ59" i="9" a="1"/>
  <c r="EG59" i="9" a="1"/>
  <c r="BK59" i="9" a="1"/>
  <c r="DP59" i="9" a="1"/>
  <c r="K33" i="9" a="1"/>
  <c r="DE46" i="9" a="1"/>
  <c r="EP59" i="9" a="1"/>
  <c r="EO33" i="9" a="1"/>
  <c r="EU33" i="9" a="1"/>
  <c r="Q46" i="9" a="1"/>
  <c r="AU33" i="9" a="1"/>
  <c r="AC46" i="9" a="1"/>
  <c r="DN33" i="9" a="1"/>
  <c r="AZ20" i="9" a="1"/>
  <c r="BO46" i="9" a="1"/>
  <c r="CE59" i="9" a="1"/>
  <c r="EH46" i="9" a="1"/>
  <c r="CD59" i="9" a="1"/>
  <c r="EK59" i="9" a="1"/>
  <c r="G33" i="9" a="1"/>
  <c r="BC20" i="9" a="1"/>
  <c r="DH20" i="9" a="1"/>
  <c r="DO59" i="9" a="1"/>
  <c r="BE20" i="9" a="1"/>
  <c r="DX33" i="9" a="1"/>
  <c r="EJ46" i="9" a="1"/>
  <c r="DK20" i="9" a="1"/>
  <c r="Y33" i="9" a="1"/>
  <c r="CA33" i="9" a="1"/>
  <c r="BS20" i="9" a="1"/>
  <c r="BA46" i="9" a="1"/>
  <c r="Z59" i="9" a="1"/>
  <c r="EL46" i="9" a="1"/>
  <c r="AG20" i="9" a="1"/>
  <c r="DV59" i="9" a="1"/>
  <c r="DJ59" i="9" a="1"/>
  <c r="FA46" i="9" a="1"/>
  <c r="DK46" i="9" a="1"/>
  <c r="DG46" i="9" a="1"/>
  <c r="EL33" i="9" a="1"/>
  <c r="ED59" i="9" a="1"/>
  <c r="EW20" i="9" a="1"/>
  <c r="CH20" i="9" a="1"/>
  <c r="S59" i="9" a="1"/>
  <c r="CV20" i="9" a="1"/>
  <c r="F33" i="9" a="1"/>
  <c r="T59" i="9" a="1"/>
  <c r="AX46" i="9" a="1"/>
  <c r="CV46" i="9" a="1"/>
  <c r="CP20" i="9" a="1"/>
  <c r="G46" i="9" a="1"/>
  <c r="EC59" i="9" a="1"/>
  <c r="EM33" i="9" a="1"/>
  <c r="EZ33" i="9" a="1"/>
  <c r="CO20" i="9" a="1"/>
  <c r="AR59" i="9" a="1"/>
  <c r="AZ46" i="9" a="1"/>
  <c r="DI46" i="9" a="1"/>
  <c r="Z33" i="9" a="1"/>
  <c r="CY46" i="9" a="1"/>
  <c r="EC46" i="9" a="1"/>
  <c r="EB59" i="9" a="1"/>
  <c r="EH33" i="9" a="1"/>
  <c r="CD46" i="9" a="1"/>
  <c r="BI33" i="9" a="1"/>
  <c r="CU33" i="9" a="1"/>
  <c r="CV59" i="9" a="1"/>
  <c r="V20" i="9" a="1"/>
  <c r="BZ33" i="9" a="1"/>
  <c r="O59" i="9" a="1"/>
  <c r="AN59" i="9" a="1"/>
  <c r="AE20" i="9" a="1"/>
  <c r="DN20" i="9" a="1"/>
  <c r="CN46" i="9" a="1"/>
  <c r="EQ59" i="9" a="1"/>
  <c r="EG20" i="9" a="1"/>
  <c r="BA33" i="9" a="1"/>
  <c r="EA20" i="9" a="1"/>
  <c r="CO33" i="9" a="1"/>
  <c r="CD33" i="9" a="1"/>
  <c r="DO46" i="9" a="1"/>
  <c r="CH59" i="9" a="1"/>
  <c r="AN20" i="9" a="1"/>
  <c r="I33" i="9" a="1"/>
  <c r="CZ59" i="9" a="1"/>
  <c r="AB46" i="9" a="1"/>
  <c r="DQ59" i="9" a="1"/>
  <c r="CG46" i="9" a="1"/>
  <c r="AK20" i="9" a="1"/>
  <c r="BR46" i="9" a="1"/>
  <c r="BW46" i="9" a="1"/>
  <c r="CU59" i="9" a="1"/>
  <c r="CM20" i="9" a="1"/>
  <c r="EX20" i="9" a="1"/>
  <c r="V33" i="9" a="1"/>
  <c r="BI59" i="9" a="1"/>
  <c r="CH33" i="9" a="1"/>
  <c r="I59" i="9" a="1"/>
  <c r="AU20" i="9" a="1"/>
  <c r="CC59" i="9" a="1"/>
  <c r="DG33" i="9" a="1"/>
  <c r="AW33" i="9" a="1"/>
  <c r="EO59" i="9" a="1"/>
  <c r="CS20" i="9" a="1"/>
  <c r="BU46" i="9" a="1"/>
  <c r="CZ46" i="9" a="1"/>
  <c r="P59" i="9" a="1"/>
  <c r="BU59" i="9" a="1"/>
  <c r="EV33" i="9" a="1"/>
  <c r="AS20" i="9" a="1"/>
  <c r="AK59" i="9" a="1"/>
  <c r="ER33" i="9" a="1"/>
  <c r="DA46" i="9" a="1"/>
  <c r="EI46" i="9" a="1"/>
  <c r="BR59" i="9" a="1"/>
  <c r="EE20" i="9" a="1"/>
  <c r="AN33" i="9" a="1"/>
  <c r="ED33" i="9" a="1"/>
  <c r="BJ20" i="9" a="1"/>
  <c r="DA33" i="9" a="1"/>
  <c r="EU46" i="9" a="1"/>
  <c r="AH33" i="9" a="1"/>
  <c r="G59" i="9" a="1"/>
  <c r="BM33" i="9" a="1"/>
  <c r="EQ46" i="9" a="1"/>
  <c r="T33" i="9" a="1"/>
  <c r="CE33" i="9" a="1"/>
  <c r="EF20" i="9" a="1"/>
  <c r="AL59" i="9" a="1"/>
  <c r="AL33" i="9" a="1"/>
  <c r="DT46" i="9" a="1"/>
  <c r="CK33" i="9" a="1"/>
  <c r="I46" i="9" a="1"/>
  <c r="EG46" i="9" a="1"/>
  <c r="F20" i="9" a="1"/>
  <c r="BZ46" i="9" a="1"/>
  <c r="BL59" i="9" a="1"/>
  <c r="CL59" i="9" a="1"/>
  <c r="AB20" i="9" a="1"/>
  <c r="CI59" i="9" a="1"/>
  <c r="DB59" i="9" a="1"/>
  <c r="EI20" i="9" a="1"/>
  <c r="W46" i="9" a="1"/>
  <c r="EV59" i="9" a="1"/>
  <c r="BM46" i="9" a="1"/>
  <c r="AD33" i="9" a="1"/>
  <c r="DN59" i="9" a="1"/>
  <c r="CK20" i="9" a="1"/>
  <c r="CR20" i="9" a="1"/>
  <c r="AK46" i="9" a="1"/>
  <c r="EY46" i="9" a="1"/>
  <c r="EJ20" i="9" a="1"/>
  <c r="AR33" i="9" a="1"/>
  <c r="Z46" i="9" a="1"/>
  <c r="EJ59" i="9" a="1"/>
  <c r="BG46" i="9" a="1"/>
  <c r="AS59" i="9" a="1"/>
  <c r="DS46" i="9" a="1"/>
  <c r="T46" i="9" a="1"/>
  <c r="CW20" i="9" a="1"/>
  <c r="DT20" i="9" a="1"/>
  <c r="DP33" i="9" a="1"/>
  <c r="DE20" i="9" a="1"/>
  <c r="EM20" i="9" a="1"/>
  <c r="AP59" i="9" a="1"/>
  <c r="AJ59" i="9" a="1"/>
  <c r="ES59" i="9" a="1"/>
  <c r="AC59" i="9" a="1"/>
  <c r="DO20" i="9" a="1"/>
  <c r="BF20" i="9" a="1"/>
  <c r="DI59" i="9" a="1"/>
  <c r="CS46" i="9" a="1"/>
  <c r="CQ20" i="9" a="1"/>
  <c r="DE59" i="9" a="1"/>
  <c r="CV33" i="9" a="1"/>
  <c r="N20" i="9" a="1"/>
  <c r="EZ46" i="9" a="1"/>
  <c r="BQ59" i="9" a="1"/>
  <c r="J20" i="9" a="1"/>
  <c r="CY59" i="9" a="1"/>
  <c r="DM59" i="9" a="1"/>
  <c r="DF59" i="9" a="1"/>
  <c r="CF33" i="9" a="1"/>
  <c r="CT20" i="9" a="1"/>
  <c r="G20" i="9" a="1"/>
  <c r="AR46" i="9" a="1"/>
  <c r="DR59" i="9" a="1"/>
  <c r="K20" i="9" a="1"/>
  <c r="DT59" i="9" a="1"/>
  <c r="AM46" i="9" a="1"/>
  <c r="CT59" i="9" a="1"/>
  <c r="BS59" i="9" a="1"/>
  <c r="BB20" i="9" a="1"/>
  <c r="AD46" i="9" a="1"/>
  <c r="AV33" i="9" a="1"/>
  <c r="L33" i="9" a="1"/>
  <c r="AM20" i="9" a="1"/>
  <c r="EF46" i="9" a="1"/>
  <c r="DW33" i="9" a="1"/>
  <c r="CK46" i="9" a="1"/>
  <c r="EI59" i="9" a="1"/>
  <c r="EG33" i="9" a="1"/>
  <c r="BE59" i="9" a="1"/>
  <c r="J46" i="9" a="1"/>
  <c r="X46" i="9" a="1"/>
  <c r="AG46" i="9" a="1"/>
  <c r="DS20" i="9" a="1"/>
  <c r="DD59" i="9" a="1"/>
  <c r="CT33" i="9" a="1"/>
  <c r="BJ46" i="9" a="1"/>
  <c r="BT46" i="9" a="1"/>
  <c r="AS46" i="9" a="1"/>
  <c r="BD20" i="9" a="1"/>
  <c r="E20" i="9" a="1"/>
  <c r="BO59" i="9" a="1"/>
  <c r="AQ33" i="9" a="1"/>
  <c r="BF46" i="9" a="1"/>
  <c r="J59" i="9" a="1"/>
  <c r="DJ46" i="9" a="1"/>
  <c r="CF59" i="9" a="1"/>
  <c r="Y46" i="9" a="1"/>
  <c r="O33" i="9" a="1"/>
  <c r="EH20" i="9" a="1"/>
  <c r="BB33" i="9" a="1"/>
  <c r="AU59" i="9" a="1"/>
  <c r="AI46" i="9" a="1"/>
  <c r="BG33" i="9" a="1"/>
  <c r="CC33" i="9" a="1"/>
  <c r="AU46" i="9" a="1"/>
  <c r="AW59" i="9" a="1"/>
  <c r="AY33" i="9" a="1"/>
  <c r="AO46" i="9" a="1"/>
  <c r="BY33" i="9" a="1"/>
  <c r="EZ20" i="9" a="1"/>
  <c r="CN59" i="9" a="1"/>
  <c r="BT33" i="9" a="1"/>
  <c r="BU20" i="9" a="1"/>
  <c r="BG59" i="9" a="1"/>
  <c r="BL20" i="9" a="1"/>
  <c r="AP33" i="9" a="1"/>
  <c r="DN46" i="9" a="1"/>
  <c r="DR33" i="9" a="1"/>
  <c r="H20" i="9" a="1"/>
  <c r="S33" i="9" a="1"/>
  <c r="U20" i="9" a="1"/>
  <c r="CB46" i="9" a="1"/>
  <c r="CR46" i="9" a="1"/>
  <c r="CU20" i="9" a="1"/>
  <c r="V59" i="9" a="1"/>
  <c r="Q20" i="9" a="1"/>
  <c r="CO46" i="9" a="1"/>
  <c r="AS33" i="9" a="1"/>
  <c r="BQ20" i="9" a="1"/>
  <c r="EJ33" i="9" a="1"/>
  <c r="DH59" i="9" a="1"/>
  <c r="DJ20" i="9" a="1"/>
  <c r="CK59" i="9" a="1"/>
  <c r="BD33" i="9" a="1"/>
  <c r="N46" i="9" a="1"/>
  <c r="W59" i="9" a="1"/>
  <c r="EA59" i="9" a="1"/>
  <c r="BN46" i="9" a="1"/>
  <c r="BN59" i="9" a="1"/>
  <c r="DR20" i="9" a="1"/>
  <c r="CR59" i="9" a="1"/>
  <c r="DC59" i="9" a="1"/>
  <c r="AY20" i="9" a="1"/>
  <c r="CG59" i="9" a="1"/>
  <c r="EC20" i="9" a="1"/>
  <c r="Q33" i="9" a="1"/>
  <c r="AP46" i="9" a="1"/>
  <c r="BL33" i="9" a="1"/>
  <c r="DK59" i="9" a="1"/>
  <c r="CO59" i="9" a="1"/>
  <c r="BI46" i="9" a="1"/>
  <c r="AD59" i="9" a="1"/>
  <c r="BN33" i="9" a="1"/>
  <c r="AO33" i="9" a="1"/>
  <c r="BI20" i="9" a="1"/>
  <c r="X20" i="9" a="1"/>
  <c r="ET59" i="9" a="1"/>
  <c r="CE20" i="9" a="1"/>
  <c r="AP20" i="9" a="1"/>
  <c r="BN20" i="9" a="1"/>
  <c r="BS46" i="9" a="1"/>
  <c r="E46" i="9" a="1"/>
  <c r="CR33" i="9" a="1"/>
  <c r="DC46" i="9" a="1"/>
  <c r="CE46" i="9" a="1"/>
  <c r="ER20" i="9" a="1"/>
  <c r="AA46" i="9" a="1"/>
  <c r="EU59" i="9" a="1"/>
  <c r="M33" i="9" a="1"/>
  <c r="DM46" i="9" a="1"/>
  <c r="AZ59" i="9" a="1"/>
  <c r="CW46" i="9" a="1"/>
  <c r="DY20" i="9" a="1"/>
  <c r="DU46" i="9" a="1"/>
  <c r="ES33" i="9" a="1"/>
  <c r="BB46" i="9" a="1"/>
  <c r="BJ33" i="9" a="1"/>
  <c r="DF46" i="9" a="1"/>
  <c r="V46" i="9" a="1"/>
  <c r="AI33" i="9" a="1"/>
  <c r="AZ33" i="9" a="1"/>
  <c r="EF33" i="9" a="1"/>
  <c r="EV20" i="9" a="1"/>
  <c r="AY59" i="9" a="1"/>
  <c r="DV46" i="9" a="1"/>
  <c r="CP33" i="9" a="1"/>
  <c r="EI33" i="9" a="1"/>
  <c r="BK33" i="9" a="1"/>
  <c r="BD46" i="9" a="1"/>
  <c r="EO46" i="9" a="1"/>
  <c r="AO59" i="9" a="1"/>
  <c r="AQ59" i="9" a="1"/>
  <c r="BM20" i="9" a="1"/>
  <c r="CA20" i="9" a="1"/>
  <c r="BP59" i="9" a="1"/>
  <c r="EE59" i="9" a="1"/>
  <c r="AX33" i="9" a="1"/>
  <c r="ET46" i="9" a="1"/>
  <c r="EO20" i="9" a="1"/>
  <c r="BM59" i="9" a="1"/>
  <c r="U59" i="9" a="1"/>
  <c r="AB33" i="9" a="1"/>
  <c r="M46" i="9" a="1"/>
  <c r="DE33" i="9" a="1"/>
  <c r="BA20" i="9" a="1"/>
  <c r="EQ20" i="9" a="1"/>
  <c r="L46" i="9" a="1"/>
  <c r="BF59" i="9" a="1"/>
  <c r="CW59" i="9" a="1"/>
  <c r="EL59" i="9" a="1"/>
  <c r="F46" i="9" a="1"/>
  <c r="BU33" i="9" a="1"/>
  <c r="BK20" i="9" a="1"/>
  <c r="EY33" i="9" a="1"/>
  <c r="ET33" i="9" a="1"/>
  <c r="BK46" i="9" a="1"/>
  <c r="EU20" i="9" a="1"/>
  <c r="DA59" i="9" a="1"/>
  <c r="BS33" i="9" a="1"/>
  <c r="BT59" i="9" a="1"/>
  <c r="BZ59" i="9" a="1"/>
  <c r="S20" i="9" a="1"/>
  <c r="BB59" i="9" a="1"/>
  <c r="AH20" i="9" a="1"/>
  <c r="DU59" i="9" a="1"/>
  <c r="EM59" i="9" a="1"/>
  <c r="BX59" i="9" a="1"/>
  <c r="L20" i="9" a="1"/>
  <c r="EY20" i="9" a="1"/>
  <c r="AM59" i="9" a="1"/>
  <c r="CC46" i="9" a="1"/>
  <c r="CA59" i="9" a="1"/>
  <c r="AJ33" i="9" a="1"/>
  <c r="CU46" i="9" a="1"/>
  <c r="EX46" i="9" a="1"/>
  <c r="AH59" i="9" a="1"/>
  <c r="CI46" i="9" a="1"/>
  <c r="BC59" i="9" a="1"/>
  <c r="I20" i="9" a="1"/>
  <c r="EA33" i="9" a="1"/>
  <c r="CA46" i="9" a="1"/>
  <c r="AC20" i="9" a="1"/>
  <c r="BO33" i="9" a="1"/>
  <c r="DY59" i="9" a="1"/>
  <c r="EB46" i="9" a="1"/>
  <c r="BQ46" i="9" a="1"/>
  <c r="BF33" i="9" a="1"/>
  <c r="BR20" i="9" a="1"/>
  <c r="BW20" i="9" a="1"/>
  <c r="BE46" i="9" a="1"/>
  <c r="Z20" i="9" a="1"/>
  <c r="ER59" i="9" a="1"/>
  <c r="T20" i="9" a="1"/>
  <c r="ER46" i="9" a="1"/>
  <c r="EW46" i="9" a="1"/>
  <c r="U46" i="9" a="1"/>
  <c r="AW20" i="9" a="1"/>
  <c r="CI20" i="9" a="1"/>
  <c r="FA20" i="9" a="1"/>
  <c r="BX20" i="9" a="1"/>
  <c r="CY33" i="9" a="1"/>
  <c r="AX20" i="9" a="1"/>
  <c r="AA20" i="9" a="1"/>
  <c r="EX59" i="9" a="1"/>
  <c r="EY59" i="9" a="1"/>
  <c r="CL46" i="9" a="1"/>
  <c r="U33" i="9" a="1"/>
  <c r="DR46" i="9" a="1"/>
  <c r="DY46" i="9" a="1"/>
  <c r="BZ20" i="9" a="1"/>
  <c r="EV46" i="9" a="1"/>
  <c r="CP59" i="9" a="1"/>
  <c r="ED20" i="9" a="1"/>
  <c r="DM20" i="9" a="1"/>
  <c r="EE46" i="9" a="1"/>
  <c r="CM46" i="9" a="1"/>
  <c r="EP33" i="9" a="1"/>
  <c r="CP46" i="9" a="1"/>
  <c r="EB33" i="9" a="1"/>
  <c r="M20" i="9" a="1"/>
  <c r="DA20" i="9" a="1"/>
  <c r="AL46" i="9" a="1"/>
  <c r="BY20" i="9" a="1"/>
  <c r="FA59" i="9" a="1"/>
  <c r="L59" i="9" a="1"/>
  <c r="EX33" i="9" a="1"/>
  <c r="CS33" i="9" a="1"/>
  <c r="BR33" i="9" a="1"/>
  <c r="BL46" i="9" a="1"/>
  <c r="AY46" i="9" a="1"/>
  <c r="DI20" i="9" a="1"/>
  <c r="CB33" i="9" a="1"/>
  <c r="BT20" i="9" a="1"/>
  <c r="DG20" i="9" a="1"/>
  <c r="DX46" i="9" a="1"/>
  <c r="H59" i="9" a="1"/>
  <c r="CN33" i="9" a="1"/>
  <c r="EK33" i="9" a="1"/>
  <c r="AC33" i="9" a="1"/>
  <c r="EW33" i="9" a="1"/>
  <c r="DS59" i="9" a="1"/>
  <c r="BW33" i="9" a="1"/>
  <c r="DB20" i="9" a="1"/>
  <c r="EK20" i="9" a="1"/>
  <c r="BE33" i="9" a="1"/>
  <c r="CY20" i="9" a="1"/>
  <c r="EH59" i="9" a="1"/>
  <c r="K46" i="9" a="1"/>
  <c r="EF59" i="9" a="1"/>
  <c r="DQ20" i="9" a="1"/>
  <c r="EB20" i="9" a="1"/>
  <c r="DW59" i="9" a="1"/>
  <c r="AH46" i="9" a="1"/>
  <c r="CZ33" i="9" a="1"/>
  <c r="CQ33" i="9" a="1"/>
  <c r="CW33" i="9" a="1"/>
  <c r="P46" i="9" a="1"/>
  <c r="CH46" i="9" a="1"/>
  <c r="AJ20" i="9" a="1"/>
  <c r="K59" i="9" a="1"/>
  <c r="DX20" i="9" a="1"/>
  <c r="DY33" i="9" a="1"/>
  <c r="AN46" i="9" a="1"/>
  <c r="BY59" i="9" a="1"/>
  <c r="DW46" i="9" a="1"/>
  <c r="ED46" i="9" a="1"/>
  <c r="AE59" i="9" a="1"/>
  <c r="Y59" i="9" a="1"/>
  <c r="AV59" i="9" a="1"/>
  <c r="DP46" i="9" a="1"/>
  <c r="DF33" i="9" a="1"/>
  <c r="AA59" i="9" a="1"/>
  <c r="EP46" i="9" a="1"/>
  <c r="M59" i="9" a="1"/>
  <c r="CN20" i="9" a="1"/>
  <c r="CB59" i="9" a="1"/>
  <c r="EA46" i="9" a="1"/>
  <c r="DD33" i="9" a="1"/>
  <c r="CD20" i="9" a="1"/>
  <c r="AE46" i="9" a="1"/>
  <c r="CT46" i="9" a="1"/>
  <c r="BP33" i="9" a="1"/>
  <c r="DO33" i="9" a="1"/>
  <c r="AM33" i="9" a="1"/>
  <c r="E33" i="9" a="1"/>
  <c r="N33" i="9" a="1"/>
  <c r="DP20" i="9" a="1"/>
  <c r="DU20" i="9" a="1"/>
  <c r="DV20" i="9" a="1"/>
  <c r="AV20" i="9" a="1"/>
  <c r="Q59" i="9" a="1"/>
  <c r="DG59" i="9" a="1"/>
  <c r="DF20" i="9" a="1"/>
  <c r="CZ20" i="9" a="1"/>
  <c r="BP46" i="9" a="1"/>
  <c r="P20" i="9" a="1"/>
  <c r="ES20" i="9" a="1"/>
  <c r="AD20" i="9" a="1"/>
  <c r="AL20" i="9" a="1"/>
  <c r="AG33" i="9" a="1"/>
  <c r="F59" i="9" a="1"/>
  <c r="CL33" i="9" a="1"/>
  <c r="CG33" i="9" a="1"/>
  <c r="DD20" i="9" a="1"/>
  <c r="CM33" i="9" a="1"/>
  <c r="BY46" i="9" a="1"/>
  <c r="S46" i="9" a="1"/>
  <c r="Y20" i="9" a="1"/>
  <c r="AA33" i="9" a="1"/>
  <c r="EP20" i="9" a="1"/>
  <c r="EL20" i="9" a="1"/>
  <c r="CM59" i="9" a="1"/>
  <c r="FA33" i="9" a="1"/>
  <c r="W33" i="9" a="1"/>
  <c r="EC33" i="9" a="1"/>
  <c r="CF20" i="9" a="1"/>
  <c r="CQ59" i="9" a="1"/>
  <c r="AQ46" i="9" a="1"/>
  <c r="O46" i="9" a="1"/>
  <c r="DI33" i="9" a="1"/>
  <c r="BD59" i="9" a="1"/>
  <c r="AO20" i="9" a="1"/>
  <c r="AI59" i="9" a="1"/>
  <c r="BW59" i="9" a="1"/>
  <c r="CI33" i="9" a="1"/>
  <c r="BP20" i="9" a="1"/>
  <c r="BO20" i="9" a="1"/>
  <c r="DT33" i="9" a="1"/>
  <c r="BX46" i="9" a="1"/>
  <c r="DX59" i="9" a="1"/>
  <c r="BC46" i="9" a="1"/>
  <c r="AJ46" i="9" a="1"/>
  <c r="W20" i="9" a="1"/>
  <c r="CC20" i="9" a="1"/>
  <c r="H33" i="9" a="1"/>
  <c r="AR20" i="9" a="1"/>
  <c r="X33" i="9" a="1"/>
  <c r="AI20" i="9" a="1"/>
  <c r="DJ33" i="9" a="1"/>
  <c r="DB33" i="9" a="1"/>
  <c r="EQ33" i="9" a="1"/>
  <c r="EW59" i="9" a="1"/>
  <c r="CF46" i="9" a="1"/>
  <c r="O20" i="9" a="1"/>
  <c r="CB20" i="9" a="1"/>
  <c r="EE33" i="9" a="1"/>
  <c r="AW46" i="9" a="1"/>
  <c r="DV33" i="9" a="1"/>
  <c r="BQ33" i="9" a="1"/>
  <c r="J33" i="9" a="1"/>
  <c r="AB59" i="9" a="1"/>
  <c r="DQ33" i="9" a="1"/>
  <c r="DW20" i="9" a="1"/>
  <c r="AQ20" i="9" a="1"/>
  <c r="AG59" i="9" a="1"/>
  <c r="CL20" i="9" a="1"/>
  <c r="E59" i="9" a="1"/>
  <c r="AE33" i="9" a="1"/>
  <c r="X59" i="9" a="1"/>
  <c r="ES46" i="9" a="1"/>
  <c r="BA59" i="9" a="1"/>
  <c r="ET20" i="9" a="1"/>
  <c r="N59" i="9" a="1"/>
  <c r="P48" i="9" l="1"/>
  <c r="L35" i="9"/>
  <c r="Q48" i="9"/>
  <c r="G9" i="9"/>
  <c r="F9" i="9"/>
  <c r="P9" i="9"/>
  <c r="K22" i="9"/>
  <c r="N9" i="9"/>
  <c r="L22" i="9"/>
  <c r="Q22" i="9"/>
  <c r="K48" i="9"/>
  <c r="O35" i="9"/>
  <c r="J48" i="9"/>
  <c r="P22" i="9"/>
  <c r="K35" i="9"/>
  <c r="E35" i="9"/>
  <c r="J22" i="9"/>
  <c r="J35" i="9"/>
  <c r="I9" i="9"/>
  <c r="G48" i="9"/>
  <c r="Q9" i="9"/>
  <c r="N22" i="9"/>
  <c r="N35" i="9"/>
  <c r="N48" i="9"/>
  <c r="H9" i="9"/>
  <c r="O22" i="9"/>
  <c r="F48" i="9"/>
  <c r="M48" i="9"/>
  <c r="O9" i="9"/>
  <c r="M22" i="9"/>
  <c r="F35" i="9"/>
  <c r="K9" i="9"/>
  <c r="M9" i="9"/>
  <c r="M35" i="9"/>
  <c r="H35" i="9"/>
  <c r="L9" i="9"/>
  <c r="I48" i="9"/>
  <c r="I22" i="9"/>
  <c r="G22" i="9"/>
  <c r="P35" i="9"/>
  <c r="S5" i="9"/>
  <c r="Q35" i="9"/>
  <c r="E9" i="9"/>
  <c r="F22" i="9"/>
  <c r="H48" i="9"/>
  <c r="O48" i="9"/>
  <c r="L48" i="9"/>
  <c r="J9" i="9"/>
  <c r="E22" i="9"/>
  <c r="E48" i="9"/>
  <c r="G35" i="9"/>
  <c r="H22" i="9"/>
  <c r="D9" i="11"/>
  <c r="AQ21" i="7"/>
  <c r="H39" i="11"/>
  <c r="AP21" i="7" s="1"/>
  <c r="EO33" i="9"/>
  <c r="EJ20" i="9"/>
  <c r="BN59" i="9"/>
  <c r="CH59" i="9"/>
  <c r="CZ46" i="9"/>
  <c r="DS20" i="9"/>
  <c r="BZ33" i="9"/>
  <c r="DG46" i="9"/>
  <c r="M59" i="9"/>
  <c r="Y33" i="9"/>
  <c r="DW20" i="9"/>
  <c r="AR59" i="9"/>
  <c r="DS46" i="9"/>
  <c r="V46" i="9"/>
  <c r="EH33" i="9"/>
  <c r="BA59" i="9"/>
  <c r="EA20" i="9"/>
  <c r="EL59" i="9"/>
  <c r="L59" i="9"/>
  <c r="CS33" i="9"/>
  <c r="CN20" i="9"/>
  <c r="DA59" i="9"/>
  <c r="EZ20" i="9"/>
  <c r="CU33" i="9"/>
  <c r="DM20" i="9"/>
  <c r="AX59" i="9"/>
  <c r="DC20" i="9"/>
  <c r="BW33" i="9"/>
  <c r="BA20" i="9"/>
  <c r="EK20" i="9"/>
  <c r="EW46" i="9"/>
  <c r="DT33" i="9"/>
  <c r="DM46" i="9"/>
  <c r="CD33" i="9"/>
  <c r="DI46" i="9"/>
  <c r="AJ59" i="9"/>
  <c r="CA59" i="9"/>
  <c r="CP20" i="9"/>
  <c r="BR59" i="9"/>
  <c r="BZ20" i="9"/>
  <c r="CQ20" i="9"/>
  <c r="W46" i="9"/>
  <c r="DK46" i="9"/>
  <c r="AE46" i="9"/>
  <c r="DJ20" i="9"/>
  <c r="DF59" i="9"/>
  <c r="CB59" i="9"/>
  <c r="BE46" i="9"/>
  <c r="FA33" i="9"/>
  <c r="DY20" i="9"/>
  <c r="DY46" i="9"/>
  <c r="CA20" i="9"/>
  <c r="CM46" i="9"/>
  <c r="U46" i="9"/>
  <c r="BI59" i="9"/>
  <c r="CV20" i="9"/>
  <c r="ES33" i="9"/>
  <c r="BZ46" i="9"/>
  <c r="EV33" i="9"/>
  <c r="AX33" i="9"/>
  <c r="CY59" i="9"/>
  <c r="AN46" i="9"/>
  <c r="DH46" i="9"/>
  <c r="BP59" i="9"/>
  <c r="G59" i="9"/>
  <c r="CT20" i="9"/>
  <c r="BR20" i="9"/>
  <c r="CN46" i="9"/>
  <c r="EO20" i="9"/>
  <c r="DX33" i="9"/>
  <c r="EG59" i="9"/>
  <c r="CW59" i="9"/>
  <c r="BF20" i="9"/>
  <c r="ET20" i="9"/>
  <c r="DT59" i="9"/>
  <c r="BC33" i="9"/>
  <c r="CR33" i="9"/>
  <c r="AZ20" i="9"/>
  <c r="DA33" i="9"/>
  <c r="AG59" i="9"/>
  <c r="BJ59" i="9"/>
  <c r="EB46" i="9"/>
  <c r="P33" i="9"/>
  <c r="AR46" i="9"/>
  <c r="J59" i="9"/>
  <c r="CH46" i="9"/>
  <c r="S59" i="9"/>
  <c r="CN59" i="9"/>
  <c r="EL33" i="9"/>
  <c r="AQ33" i="9"/>
  <c r="EE46" i="9"/>
  <c r="AV20" i="9"/>
  <c r="BC20" i="9"/>
  <c r="AD46" i="9"/>
  <c r="BO46" i="9"/>
  <c r="N33" i="9"/>
  <c r="AU20" i="9"/>
  <c r="AA20" i="9"/>
  <c r="CQ59" i="9"/>
  <c r="AA33" i="9"/>
  <c r="DN59" i="9"/>
  <c r="DK20" i="9"/>
  <c r="AP59" i="9"/>
  <c r="DR33" i="9"/>
  <c r="M20" i="9"/>
  <c r="AB59" i="9"/>
  <c r="DG33" i="9"/>
  <c r="CP46" i="9"/>
  <c r="DC33" i="9"/>
  <c r="DQ33" i="9"/>
  <c r="BP33" i="9"/>
  <c r="BE33" i="9"/>
  <c r="CK59" i="9"/>
  <c r="L20" i="9"/>
  <c r="DY33" i="9"/>
  <c r="EH20" i="9"/>
  <c r="AJ20" i="9"/>
  <c r="CC20" i="9"/>
  <c r="AR33" i="9"/>
  <c r="EE33" i="9"/>
  <c r="EA46" i="9"/>
  <c r="EM33" i="9"/>
  <c r="AM59" i="9"/>
  <c r="BY33" i="9"/>
  <c r="O59" i="9"/>
  <c r="CO20" i="9"/>
  <c r="AJ33" i="9"/>
  <c r="BA46" i="9"/>
  <c r="AL20" i="9"/>
  <c r="BD46" i="9"/>
  <c r="DP46" i="9"/>
  <c r="DX59" i="9"/>
  <c r="Y59" i="9"/>
  <c r="BQ46" i="9"/>
  <c r="BO59" i="9"/>
  <c r="CE46" i="9"/>
  <c r="BD20" i="9"/>
  <c r="EP33" i="9"/>
  <c r="U33" i="9"/>
  <c r="AN20" i="9"/>
  <c r="DP20" i="9"/>
  <c r="AX46" i="9"/>
  <c r="EQ59" i="9"/>
  <c r="DO20" i="9"/>
  <c r="L33" i="9"/>
  <c r="DG20" i="9"/>
  <c r="AK46" i="9"/>
  <c r="CI33" i="9"/>
  <c r="CZ33" i="9"/>
  <c r="ES59" i="9"/>
  <c r="AU33" i="9"/>
  <c r="EQ33" i="9"/>
  <c r="BK20" i="9"/>
  <c r="J46" i="9"/>
  <c r="O20" i="9"/>
  <c r="AD20" i="9"/>
  <c r="AY33" i="9"/>
  <c r="CP59" i="9"/>
  <c r="EG33" i="9"/>
  <c r="CW20" i="9"/>
  <c r="AP46" i="9"/>
  <c r="V59" i="9"/>
  <c r="AL59" i="9"/>
  <c r="EA33" i="9"/>
  <c r="ES46" i="9"/>
  <c r="BS59" i="9"/>
  <c r="G33" i="9"/>
  <c r="CM59" i="9"/>
  <c r="BF46" i="9"/>
  <c r="ED20" i="9"/>
  <c r="AS59" i="9"/>
  <c r="CW46" i="9"/>
  <c r="CI46" i="9"/>
  <c r="AW59" i="9"/>
  <c r="J33" i="9"/>
  <c r="CK46" i="9"/>
  <c r="EM59" i="9"/>
  <c r="DV33" i="9"/>
  <c r="AO59" i="9"/>
  <c r="EE59" i="9"/>
  <c r="ED33" i="9"/>
  <c r="AA59" i="9"/>
  <c r="BL46" i="9"/>
  <c r="CA46" i="9"/>
  <c r="CF20" i="9"/>
  <c r="K59" i="9"/>
  <c r="BK59" i="9"/>
  <c r="EQ20" i="9"/>
  <c r="AK20" i="9"/>
  <c r="EX20" i="9"/>
  <c r="CU20" i="9"/>
  <c r="AG33" i="9"/>
  <c r="DQ20" i="9"/>
  <c r="AZ46" i="9"/>
  <c r="W59" i="9"/>
  <c r="DB33" i="9"/>
  <c r="CE20" i="9"/>
  <c r="AV46" i="9"/>
  <c r="AQ46" i="9"/>
  <c r="CK33" i="9"/>
  <c r="CH33" i="9"/>
  <c r="DD20" i="9"/>
  <c r="T33" i="9"/>
  <c r="CL20" i="9"/>
  <c r="EX59" i="9"/>
  <c r="EM20" i="9"/>
  <c r="DB59" i="9"/>
  <c r="AV33" i="9"/>
  <c r="BT59" i="9"/>
  <c r="EP59" i="9"/>
  <c r="DI20" i="9"/>
  <c r="BR33" i="9"/>
  <c r="CD59" i="9"/>
  <c r="CQ33" i="9"/>
  <c r="DI59" i="9"/>
  <c r="CZ59" i="9"/>
  <c r="S20" i="9"/>
  <c r="DR20" i="9"/>
  <c r="EB33" i="9"/>
  <c r="DG59" i="9"/>
  <c r="DF20" i="9"/>
  <c r="ES20" i="9"/>
  <c r="BT20" i="9"/>
  <c r="BE59" i="9"/>
  <c r="CS46" i="9"/>
  <c r="Q59" i="9"/>
  <c r="EK59" i="9"/>
  <c r="EE20" i="9"/>
  <c r="BJ20" i="9"/>
  <c r="AY46" i="9"/>
  <c r="AS20" i="9"/>
  <c r="W20" i="9"/>
  <c r="AN59" i="9"/>
  <c r="EA59" i="9"/>
  <c r="BY46" i="9"/>
  <c r="DJ59" i="9"/>
  <c r="H20" i="9"/>
  <c r="DF33" i="9"/>
  <c r="BL59" i="9"/>
  <c r="M46" i="9"/>
  <c r="BO20" i="9"/>
  <c r="P20" i="9"/>
  <c r="DO33" i="9"/>
  <c r="AM33" i="9"/>
  <c r="DW46" i="9"/>
  <c r="CO46" i="9"/>
  <c r="AL46" i="9"/>
  <c r="BI20" i="9"/>
  <c r="EI33" i="9"/>
  <c r="CI59" i="9"/>
  <c r="CT33" i="9"/>
  <c r="BQ20" i="9"/>
  <c r="AB46" i="9"/>
  <c r="AB20" i="9"/>
  <c r="AQ20" i="9"/>
  <c r="DK33" i="9"/>
  <c r="CY20" i="9"/>
  <c r="DU46" i="9"/>
  <c r="EH46" i="9"/>
  <c r="DJ46" i="9"/>
  <c r="BQ59" i="9"/>
  <c r="O33" i="9"/>
  <c r="S33" i="9"/>
  <c r="CB33" i="9"/>
  <c r="BU59" i="9"/>
  <c r="DC46" i="9"/>
  <c r="BI33" i="9"/>
  <c r="BD33" i="9"/>
  <c r="BI46" i="9"/>
  <c r="EK33" i="9"/>
  <c r="Z46" i="9"/>
  <c r="AE59" i="9"/>
  <c r="K20" i="9"/>
  <c r="DS33" i="9"/>
  <c r="P59" i="9"/>
  <c r="DU59" i="9"/>
  <c r="H33" i="9"/>
  <c r="CM33" i="9"/>
  <c r="DT46" i="9"/>
  <c r="CS59" i="9"/>
  <c r="EU20" i="9"/>
  <c r="AN33" i="9"/>
  <c r="CI20" i="9"/>
  <c r="EL20" i="9"/>
  <c r="EI46" i="9"/>
  <c r="AI46" i="9"/>
  <c r="EC33" i="9"/>
  <c r="BU20" i="9"/>
  <c r="AP20" i="9"/>
  <c r="ER46" i="9"/>
  <c r="EF20" i="9"/>
  <c r="EJ59" i="9"/>
  <c r="DE46" i="9"/>
  <c r="BS20" i="9"/>
  <c r="DW33" i="9"/>
  <c r="BP20" i="9"/>
  <c r="AR20" i="9"/>
  <c r="E59" i="9"/>
  <c r="X20" i="9"/>
  <c r="EI20" i="9"/>
  <c r="EU46" i="9"/>
  <c r="BW20" i="9"/>
  <c r="BX59" i="9"/>
  <c r="AZ59" i="9"/>
  <c r="CW33" i="9"/>
  <c r="AK33" i="9"/>
  <c r="AC46" i="9"/>
  <c r="CT59" i="9"/>
  <c r="BL20" i="9"/>
  <c r="AU59" i="9"/>
  <c r="EL46" i="9"/>
  <c r="DD59" i="9"/>
  <c r="DW59" i="9"/>
  <c r="BM33" i="9"/>
  <c r="EV59" i="9"/>
  <c r="AW33" i="9"/>
  <c r="AE33" i="9"/>
  <c r="EB20" i="9"/>
  <c r="AA46" i="9"/>
  <c r="EU59" i="9"/>
  <c r="E46" i="9"/>
  <c r="FA59" i="9"/>
  <c r="AX20" i="9"/>
  <c r="BK33" i="9"/>
  <c r="BO33" i="9"/>
  <c r="AO20" i="9"/>
  <c r="CL59" i="9"/>
  <c r="DH33" i="9"/>
  <c r="P46" i="9"/>
  <c r="Z33" i="9"/>
  <c r="F33" i="9"/>
  <c r="CL46" i="9"/>
  <c r="EY46" i="9"/>
  <c r="DE59" i="9"/>
  <c r="EO46" i="9"/>
  <c r="ET33" i="9"/>
  <c r="N46" i="9"/>
  <c r="X59" i="9"/>
  <c r="EF33" i="9"/>
  <c r="BZ59" i="9"/>
  <c r="CK20" i="9"/>
  <c r="K46" i="9"/>
  <c r="EM46" i="9"/>
  <c r="DX20" i="9"/>
  <c r="DY59" i="9"/>
  <c r="BY20" i="9"/>
  <c r="AW20" i="9"/>
  <c r="Y46" i="9"/>
  <c r="BA33" i="9"/>
  <c r="AL33" i="9"/>
  <c r="EW59" i="9"/>
  <c r="AE20" i="9"/>
  <c r="BG20" i="9"/>
  <c r="DQ46" i="9"/>
  <c r="BX33" i="9"/>
  <c r="BB46" i="9"/>
  <c r="AP33" i="9"/>
  <c r="BB33" i="9"/>
  <c r="X46" i="9"/>
  <c r="DU20" i="9"/>
  <c r="F59" i="9"/>
  <c r="CZ20" i="9"/>
  <c r="BC46" i="9"/>
  <c r="EI59" i="9"/>
  <c r="CO33" i="9"/>
  <c r="AI59" i="9"/>
  <c r="AB33" i="9"/>
  <c r="DU33" i="9"/>
  <c r="CV46" i="9"/>
  <c r="BS46" i="9"/>
  <c r="BQ33" i="9"/>
  <c r="EB59" i="9"/>
  <c r="CQ46" i="9"/>
  <c r="EG20" i="9"/>
  <c r="W33" i="9"/>
  <c r="EP46" i="9"/>
  <c r="BU46" i="9"/>
  <c r="AW46" i="9"/>
  <c r="BB20" i="9"/>
  <c r="BC59" i="9"/>
  <c r="BF33" i="9"/>
  <c r="AD33" i="9"/>
  <c r="I46" i="9"/>
  <c r="CB20" i="9"/>
  <c r="CH20" i="9"/>
  <c r="BE20" i="9"/>
  <c r="BT46" i="9"/>
  <c r="EQ46" i="9"/>
  <c r="DN20" i="9"/>
  <c r="BG33" i="9"/>
  <c r="ED59" i="9"/>
  <c r="BM59" i="9"/>
  <c r="BW59" i="9"/>
  <c r="G46" i="9"/>
  <c r="CO59" i="9"/>
  <c r="AC33" i="9"/>
  <c r="F20" i="9"/>
  <c r="CG59" i="9"/>
  <c r="DO59" i="9"/>
  <c r="AC20" i="9"/>
  <c r="T59" i="9"/>
  <c r="EC46" i="9"/>
  <c r="V20" i="9"/>
  <c r="CF33" i="9"/>
  <c r="EZ33" i="9"/>
  <c r="EC59" i="9"/>
  <c r="DN46" i="9"/>
  <c r="AU46" i="9"/>
  <c r="V33" i="9"/>
  <c r="BT33" i="9"/>
  <c r="EX33" i="9"/>
  <c r="DQ59" i="9"/>
  <c r="ET46" i="9"/>
  <c r="CV33" i="9"/>
  <c r="CY33" i="9"/>
  <c r="CC59" i="9"/>
  <c r="DR46" i="9"/>
  <c r="AC59" i="9"/>
  <c r="H59" i="9"/>
  <c r="DP33" i="9"/>
  <c r="CR46" i="9"/>
  <c r="BD59" i="9"/>
  <c r="K33" i="9"/>
  <c r="AH20" i="9"/>
  <c r="BN20" i="9"/>
  <c r="G20" i="9"/>
  <c r="EW20" i="9"/>
  <c r="DC59" i="9"/>
  <c r="I20" i="9"/>
  <c r="DX46" i="9"/>
  <c r="CR59" i="9"/>
  <c r="U20" i="9"/>
  <c r="EG46" i="9"/>
  <c r="EY59" i="9"/>
  <c r="EV46" i="9"/>
  <c r="BW46" i="9"/>
  <c r="AQ59" i="9"/>
  <c r="BY59" i="9"/>
  <c r="EY20" i="9"/>
  <c r="CT46" i="9"/>
  <c r="EX46" i="9"/>
  <c r="DA20" i="9"/>
  <c r="CU46" i="9"/>
  <c r="DT20" i="9"/>
  <c r="CE33" i="9"/>
  <c r="DH59" i="9"/>
  <c r="ER20" i="9"/>
  <c r="CG46" i="9"/>
  <c r="DE33" i="9"/>
  <c r="BJ46" i="9"/>
  <c r="Q33" i="9"/>
  <c r="BG46" i="9"/>
  <c r="ER59" i="9"/>
  <c r="CE59" i="9"/>
  <c r="BS33" i="9"/>
  <c r="BJ33" i="9"/>
  <c r="DR59" i="9"/>
  <c r="EH59" i="9"/>
  <c r="AH33" i="9"/>
  <c r="BG59" i="9"/>
  <c r="L46" i="9"/>
  <c r="CA33" i="9"/>
  <c r="AK59" i="9"/>
  <c r="H46" i="9"/>
  <c r="AV59" i="9"/>
  <c r="EZ59" i="9"/>
  <c r="DV46" i="9"/>
  <c r="DP59" i="9"/>
  <c r="CC46" i="9"/>
  <c r="CY46" i="9"/>
  <c r="BN46" i="9"/>
  <c r="CC33" i="9"/>
  <c r="BN33" i="9"/>
  <c r="AM20" i="9"/>
  <c r="AH46" i="9"/>
  <c r="AS46" i="9"/>
  <c r="Q46" i="9"/>
  <c r="EF46" i="9"/>
  <c r="O46" i="9"/>
  <c r="X33" i="9"/>
  <c r="BM46" i="9"/>
  <c r="BK46" i="9"/>
  <c r="DD46" i="9"/>
  <c r="DA46" i="9"/>
  <c r="EJ33" i="9"/>
  <c r="DE20" i="9"/>
  <c r="FA20" i="9"/>
  <c r="BX20" i="9"/>
  <c r="DM33" i="9"/>
  <c r="EV20" i="9"/>
  <c r="AI33" i="9"/>
  <c r="AG46" i="9"/>
  <c r="T20" i="9"/>
  <c r="E20" i="9"/>
  <c r="DB20" i="9"/>
  <c r="DB46" i="9"/>
  <c r="CF46" i="9"/>
  <c r="DD33" i="9"/>
  <c r="CV59" i="9"/>
  <c r="AO33" i="9"/>
  <c r="DH20" i="9"/>
  <c r="DI33" i="9"/>
  <c r="ED46" i="9"/>
  <c r="EU33" i="9"/>
  <c r="CB46" i="9"/>
  <c r="DJ33" i="9"/>
  <c r="AI20" i="9"/>
  <c r="EF59" i="9"/>
  <c r="BR46" i="9"/>
  <c r="E33" i="9"/>
  <c r="AY59" i="9"/>
  <c r="BF59" i="9"/>
  <c r="S46" i="9"/>
  <c r="AM46" i="9"/>
  <c r="BP46" i="9"/>
  <c r="EK46" i="9"/>
  <c r="EP20" i="9"/>
  <c r="J20" i="9"/>
  <c r="CG20" i="9"/>
  <c r="CS20" i="9"/>
  <c r="DS59" i="9"/>
  <c r="CD20" i="9"/>
  <c r="CF59" i="9"/>
  <c r="EW33" i="9"/>
  <c r="AJ46" i="9"/>
  <c r="BL33" i="9"/>
  <c r="F46" i="9"/>
  <c r="Z59" i="9"/>
  <c r="CG33" i="9"/>
  <c r="ET59" i="9"/>
  <c r="AZ33" i="9"/>
  <c r="EO59" i="9"/>
  <c r="EZ46" i="9"/>
  <c r="DV59" i="9"/>
  <c r="M33" i="9"/>
  <c r="N20" i="9"/>
  <c r="I33" i="9"/>
  <c r="CN33" i="9"/>
  <c r="AY20" i="9"/>
  <c r="BM20" i="9"/>
  <c r="AG20" i="9"/>
  <c r="DF46" i="9"/>
  <c r="CR20" i="9"/>
  <c r="T46" i="9"/>
  <c r="N59" i="9"/>
  <c r="CL33" i="9"/>
  <c r="AH59" i="9"/>
  <c r="DV20" i="9"/>
  <c r="CU59" i="9"/>
  <c r="AS33" i="9"/>
  <c r="EC20" i="9"/>
  <c r="Z20" i="9"/>
  <c r="ER33" i="9"/>
  <c r="Q20" i="9"/>
  <c r="I59" i="9"/>
  <c r="Y20" i="9"/>
  <c r="U59" i="9"/>
  <c r="DO46" i="9"/>
  <c r="BB59" i="9"/>
  <c r="DN33" i="9"/>
  <c r="EJ46" i="9"/>
  <c r="FA46" i="9"/>
  <c r="BU33" i="9"/>
  <c r="CM20" i="9"/>
  <c r="AO46" i="9"/>
  <c r="DM59" i="9"/>
  <c r="AD59" i="9"/>
  <c r="DK59" i="9"/>
  <c r="CP33" i="9"/>
  <c r="EY33" i="9"/>
  <c r="CD46" i="9"/>
  <c r="BX46" i="9"/>
  <c r="AJ35" i="7"/>
  <c r="L39" i="11"/>
  <c r="AI35" i="7" s="1"/>
  <c r="H38" i="11" a="1"/>
  <c r="H38" i="11" s="1"/>
  <c r="AP20" i="7" s="1"/>
  <c r="AQ20" i="7"/>
  <c r="AQ35" i="7"/>
  <c r="P39" i="11"/>
  <c r="AP35" i="7" s="1"/>
  <c r="AQ34" i="7"/>
  <c r="P38" i="11" a="1"/>
  <c r="P38" i="11" s="1"/>
  <c r="AP34" i="7" s="1"/>
  <c r="D11" i="11" a="1"/>
  <c r="D11" i="11" s="1"/>
  <c r="D20" i="11" a="1"/>
  <c r="D20" i="11" s="1"/>
  <c r="D19" i="11" a="1"/>
  <c r="D19" i="11" s="1"/>
  <c r="P37" i="11" a="1"/>
  <c r="P37" i="11" s="1"/>
  <c r="AP33" i="7" s="1"/>
  <c r="AQ33" i="7"/>
  <c r="E13" i="7" a="1"/>
  <c r="E13" i="7" s="1"/>
  <c r="H13" i="7"/>
  <c r="J13" i="7" a="1"/>
  <c r="J13" i="7" s="1"/>
  <c r="C14" i="7" a="1"/>
  <c r="C14" i="7" s="1"/>
  <c r="G13" i="7" a="1"/>
  <c r="G13" i="7" s="1"/>
  <c r="AJ20" i="7"/>
  <c r="D38" i="11" a="1"/>
  <c r="D38" i="11" s="1"/>
  <c r="AI20" i="7" s="1"/>
  <c r="AJ19" i="7"/>
  <c r="D37" i="11" a="1"/>
  <c r="D37" i="11" s="1"/>
  <c r="AI19" i="7" s="1"/>
  <c r="AC9" i="9" l="1"/>
  <c r="U48" i="9"/>
  <c r="V22" i="9"/>
  <c r="AB48" i="9"/>
  <c r="AA35" i="9"/>
  <c r="AC22" i="9"/>
  <c r="AG5" i="9"/>
  <c r="AE48" i="9"/>
  <c r="AE35" i="9"/>
  <c r="T48" i="9"/>
  <c r="V9" i="9"/>
  <c r="V48" i="9"/>
  <c r="Y48" i="9"/>
  <c r="T9" i="9"/>
  <c r="X48" i="9"/>
  <c r="S22" i="9"/>
  <c r="X9" i="9"/>
  <c r="S9" i="9"/>
  <c r="Z9" i="9"/>
  <c r="Z22" i="9"/>
  <c r="S35" i="9"/>
  <c r="T22" i="9"/>
  <c r="Y9" i="9"/>
  <c r="W22" i="9"/>
  <c r="T35" i="9"/>
  <c r="AA9" i="9"/>
  <c r="AB22" i="9"/>
  <c r="U35" i="9"/>
  <c r="AC35" i="9"/>
  <c r="AD9" i="9"/>
  <c r="AA22" i="9"/>
  <c r="U22" i="9"/>
  <c r="AE9" i="9"/>
  <c r="AC48" i="9"/>
  <c r="AD35" i="9"/>
  <c r="X22" i="9"/>
  <c r="U9" i="9"/>
  <c r="W48" i="9"/>
  <c r="AD48" i="9"/>
  <c r="V35" i="9"/>
  <c r="X35" i="9"/>
  <c r="W35" i="9"/>
  <c r="Z35" i="9"/>
  <c r="Y35" i="9"/>
  <c r="S48" i="9"/>
  <c r="AB35" i="9"/>
  <c r="AD22" i="9"/>
  <c r="W9" i="9"/>
  <c r="Y22" i="9"/>
  <c r="AE22" i="9"/>
  <c r="AA48" i="9"/>
  <c r="AB9" i="9"/>
  <c r="Z48" i="9"/>
  <c r="CS7" i="9"/>
  <c r="CS6" i="9" s="1"/>
  <c r="ES7" i="9"/>
  <c r="ES6" i="9" s="1"/>
  <c r="DP7" i="9"/>
  <c r="DP6" i="9" s="1"/>
  <c r="ER7" i="9"/>
  <c r="ER6" i="9" s="1"/>
  <c r="AQ7" i="9"/>
  <c r="AQ6" i="9" s="1"/>
  <c r="BT7" i="9"/>
  <c r="BT6" i="9" s="1"/>
  <c r="EB7" i="9"/>
  <c r="EB6" i="9" s="1"/>
  <c r="BQ7" i="9"/>
  <c r="BQ6" i="9" s="1"/>
  <c r="CU7" i="9"/>
  <c r="CU6" i="9" s="1"/>
  <c r="FA7" i="9"/>
  <c r="FA6" i="9" s="1"/>
  <c r="G7" i="9"/>
  <c r="G6" i="9" s="1"/>
  <c r="BW7" i="9"/>
  <c r="BW6" i="9" s="1"/>
  <c r="S7" i="9"/>
  <c r="S6" i="9" s="1"/>
  <c r="CD7" i="9"/>
  <c r="CD6" i="9" s="1"/>
  <c r="EV7" i="9"/>
  <c r="EV6" i="9" s="1"/>
  <c r="AM7" i="9"/>
  <c r="AM6" i="9" s="1"/>
  <c r="DT7" i="9"/>
  <c r="DT6" i="9" s="1"/>
  <c r="T7" i="9"/>
  <c r="T6" i="9" s="1"/>
  <c r="AG7" i="9"/>
  <c r="AG6" i="9" s="1"/>
  <c r="EM7" i="9"/>
  <c r="EM6" i="9" s="1"/>
  <c r="Y7" i="9"/>
  <c r="Y6" i="9" s="1"/>
  <c r="BM7" i="9"/>
  <c r="BM6" i="9" s="1"/>
  <c r="CQ7" i="9"/>
  <c r="CQ6" i="9" s="1"/>
  <c r="W7" i="9"/>
  <c r="W6" i="9" s="1"/>
  <c r="AH7" i="9"/>
  <c r="AH6" i="9" s="1"/>
  <c r="BU7" i="9"/>
  <c r="BU6" i="9" s="1"/>
  <c r="H7" i="9"/>
  <c r="H6" i="9" s="1"/>
  <c r="EL7" i="9"/>
  <c r="EL6" i="9" s="1"/>
  <c r="DB7" i="9"/>
  <c r="DB6" i="9" s="1"/>
  <c r="EX7" i="9"/>
  <c r="EX6" i="9" s="1"/>
  <c r="CO7" i="9"/>
  <c r="CO6" i="9" s="1"/>
  <c r="AZ7" i="9"/>
  <c r="AZ6" i="9" s="1"/>
  <c r="BC7" i="9"/>
  <c r="BC6" i="9" s="1"/>
  <c r="DJ7" i="9"/>
  <c r="DJ6" i="9" s="1"/>
  <c r="BA7" i="9"/>
  <c r="BA6" i="9" s="1"/>
  <c r="AV7" i="9"/>
  <c r="AV6" i="9" s="1"/>
  <c r="CR7" i="9"/>
  <c r="CR6" i="9" s="1"/>
  <c r="E7" i="9"/>
  <c r="E6" i="9" s="1"/>
  <c r="BZ7" i="9"/>
  <c r="BZ6" i="9" s="1"/>
  <c r="N7" i="9"/>
  <c r="N6" i="9" s="1"/>
  <c r="U7" i="9"/>
  <c r="U6" i="9" s="1"/>
  <c r="AC7" i="9"/>
  <c r="AC6" i="9" s="1"/>
  <c r="CB7" i="9"/>
  <c r="CB6" i="9" s="1"/>
  <c r="AE7" i="9"/>
  <c r="AE6" i="9" s="1"/>
  <c r="CW7" i="9"/>
  <c r="CW6" i="9" s="1"/>
  <c r="DO7" i="9"/>
  <c r="DO6" i="9" s="1"/>
  <c r="E14" i="7" a="1"/>
  <c r="E14" i="7" s="1"/>
  <c r="G14" i="7" a="1"/>
  <c r="G14" i="7" s="1"/>
  <c r="J14" i="7" a="1"/>
  <c r="J14" i="7" s="1"/>
  <c r="H14" i="7"/>
  <c r="C15" i="7" a="1"/>
  <c r="C15" i="7" s="1"/>
  <c r="AK7" i="9"/>
  <c r="AK6" i="9" s="1"/>
  <c r="AB13" i="7" a="1"/>
  <c r="AB13" i="7" s="1"/>
  <c r="AA13" i="7"/>
  <c r="Z13" i="7"/>
  <c r="AD13" i="7"/>
  <c r="AC13" i="7" a="1"/>
  <c r="AC13" i="7" s="1"/>
  <c r="AY7" i="9"/>
  <c r="AY6" i="9" s="1"/>
  <c r="AI7" i="9"/>
  <c r="AI6" i="9" s="1"/>
  <c r="EW7" i="9"/>
  <c r="EW6" i="9" s="1"/>
  <c r="BB7" i="9"/>
  <c r="BB6" i="9" s="1"/>
  <c r="AW7" i="9"/>
  <c r="AW6" i="9" s="1"/>
  <c r="X7" i="9"/>
  <c r="X6" i="9" s="1"/>
  <c r="CI7" i="9"/>
  <c r="CI6" i="9" s="1"/>
  <c r="O7" i="9"/>
  <c r="O6" i="9" s="1"/>
  <c r="DC7" i="9"/>
  <c r="DC6" i="9" s="1"/>
  <c r="DW7" i="9"/>
  <c r="DW6" i="9" s="1"/>
  <c r="EK7" i="9"/>
  <c r="EK6" i="9" s="1"/>
  <c r="CL7" i="9"/>
  <c r="CL6" i="9" s="1"/>
  <c r="DA7" i="9"/>
  <c r="DA6" i="9" s="1"/>
  <c r="CZ7" i="9"/>
  <c r="CZ6" i="9" s="1"/>
  <c r="BY7" i="9"/>
  <c r="BY6" i="9" s="1"/>
  <c r="DR7" i="9"/>
  <c r="DR6" i="9" s="1"/>
  <c r="DD7" i="9"/>
  <c r="DD6" i="9" s="1"/>
  <c r="ED7" i="9"/>
  <c r="ED6" i="9" s="1"/>
  <c r="ET7" i="9"/>
  <c r="ET6" i="9" s="1"/>
  <c r="F7" i="9"/>
  <c r="F6" i="9" s="1"/>
  <c r="AN7" i="9"/>
  <c r="AN6" i="9" s="1"/>
  <c r="BN7" i="9"/>
  <c r="BN6" i="9" s="1"/>
  <c r="AR7" i="9"/>
  <c r="AR6" i="9" s="1"/>
  <c r="EU7" i="9"/>
  <c r="EU6" i="9" s="1"/>
  <c r="CF7" i="9"/>
  <c r="CF6" i="9" s="1"/>
  <c r="BK7" i="9"/>
  <c r="BK6" i="9" s="1"/>
  <c r="BD7" i="9"/>
  <c r="BD6" i="9" s="1"/>
  <c r="M7" i="9"/>
  <c r="M6" i="9" s="1"/>
  <c r="BF7" i="9"/>
  <c r="BF6" i="9" s="1"/>
  <c r="DM7" i="9"/>
  <c r="DM6" i="9" s="1"/>
  <c r="AD7" i="9"/>
  <c r="AD6" i="9" s="1"/>
  <c r="Q7" i="9"/>
  <c r="Q6" i="9" s="1"/>
  <c r="DX7" i="9"/>
  <c r="DX6" i="9" s="1"/>
  <c r="BP7" i="9"/>
  <c r="BP6" i="9" s="1"/>
  <c r="C97" i="11"/>
  <c r="D23" i="11" a="1"/>
  <c r="D23" i="11" s="1"/>
  <c r="C102" i="11"/>
  <c r="C107" i="11"/>
  <c r="C72" i="11"/>
  <c r="C62" i="11"/>
  <c r="C57" i="11"/>
  <c r="C67" i="11"/>
  <c r="C52" i="11"/>
  <c r="C77" i="11"/>
  <c r="C82" i="11"/>
  <c r="C87" i="11"/>
  <c r="C92" i="11"/>
  <c r="EC7" i="9"/>
  <c r="EC6" i="9" s="1"/>
  <c r="EY7" i="9"/>
  <c r="EY6" i="9" s="1"/>
  <c r="AS7" i="9"/>
  <c r="AS6" i="9" s="1"/>
  <c r="EZ7" i="9"/>
  <c r="EZ6" i="9" s="1"/>
  <c r="D21" i="11"/>
  <c r="Y11" i="7" s="1" a="1"/>
  <c r="Y11" i="7" s="1"/>
  <c r="D22" i="11"/>
  <c r="J7" i="9"/>
  <c r="J6" i="9" s="1"/>
  <c r="DE7" i="9"/>
  <c r="DE6" i="9" s="1"/>
  <c r="EG7" i="9"/>
  <c r="EG6" i="9" s="1"/>
  <c r="AO7" i="9"/>
  <c r="AO6" i="9" s="1"/>
  <c r="BS7" i="9"/>
  <c r="BS6" i="9" s="1"/>
  <c r="CC7" i="9"/>
  <c r="CC6" i="9" s="1"/>
  <c r="DK7" i="9"/>
  <c r="DK6" i="9" s="1"/>
  <c r="CP7" i="9"/>
  <c r="CP6" i="9" s="1"/>
  <c r="DS7" i="9"/>
  <c r="DS6" i="9" s="1"/>
  <c r="EP7" i="9"/>
  <c r="EP6" i="9" s="1"/>
  <c r="DH7" i="9"/>
  <c r="DH6" i="9" s="1"/>
  <c r="DN7" i="9"/>
  <c r="DN6" i="9" s="1"/>
  <c r="CK7" i="9"/>
  <c r="CK6" i="9" s="1"/>
  <c r="BL7" i="9"/>
  <c r="BL6" i="9" s="1"/>
  <c r="BJ7" i="9"/>
  <c r="BJ6" i="9" s="1"/>
  <c r="CE7" i="9"/>
  <c r="CE6" i="9" s="1"/>
  <c r="AJ7" i="9"/>
  <c r="AJ6" i="9" s="1"/>
  <c r="EO7" i="9"/>
  <c r="EO6" i="9" s="1"/>
  <c r="CN7" i="9"/>
  <c r="CN6" i="9" s="1"/>
  <c r="AB7" i="9"/>
  <c r="AB6" i="9" s="1"/>
  <c r="D13" i="7"/>
  <c r="I13" i="7" s="1" a="1"/>
  <c r="I13" i="7" s="1"/>
  <c r="L13" i="7" a="1"/>
  <c r="L13" i="7" s="1"/>
  <c r="K13" i="7" a="1"/>
  <c r="K13" i="7" s="1"/>
  <c r="F13" i="7"/>
  <c r="BI7" i="9"/>
  <c r="BI6" i="9" s="1"/>
  <c r="CM7" i="9"/>
  <c r="CM6" i="9" s="1"/>
  <c r="DV7" i="9"/>
  <c r="DV6" i="9" s="1"/>
  <c r="EE7" i="9"/>
  <c r="EE6" i="9" s="1"/>
  <c r="EH7" i="9"/>
  <c r="EH6" i="9" s="1"/>
  <c r="CA7" i="9"/>
  <c r="CA6" i="9" s="1"/>
  <c r="I7" i="9"/>
  <c r="I6" i="9" s="1"/>
  <c r="Z7" i="9"/>
  <c r="Z6" i="9" s="1"/>
  <c r="DU7" i="9"/>
  <c r="DU6" i="9" s="1"/>
  <c r="CG7" i="9"/>
  <c r="CG6" i="9" s="1"/>
  <c r="V7" i="9"/>
  <c r="V6" i="9" s="1"/>
  <c r="AX7" i="9"/>
  <c r="AX6" i="9" s="1"/>
  <c r="EF7" i="9"/>
  <c r="EF6" i="9" s="1"/>
  <c r="DI7" i="9"/>
  <c r="DI6" i="9" s="1"/>
  <c r="BR7" i="9"/>
  <c r="BR6" i="9" s="1"/>
  <c r="DF7" i="9"/>
  <c r="DF6" i="9" s="1"/>
  <c r="EI7" i="9"/>
  <c r="EI6" i="9" s="1"/>
  <c r="EQ7" i="9"/>
  <c r="EQ6" i="9" s="1"/>
  <c r="BE7" i="9"/>
  <c r="BE6" i="9" s="1"/>
  <c r="P7" i="9"/>
  <c r="P6" i="9" s="1"/>
  <c r="DG7" i="9"/>
  <c r="DG6" i="9" s="1"/>
  <c r="L7" i="9"/>
  <c r="L6" i="9" s="1"/>
  <c r="AA7" i="9"/>
  <c r="AA6" i="9" s="1"/>
  <c r="CT7" i="9"/>
  <c r="CT6" i="9" s="1"/>
  <c r="DY7" i="9"/>
  <c r="DY6" i="9" s="1"/>
  <c r="EJ7" i="9"/>
  <c r="EJ6" i="9" s="1"/>
  <c r="BX7" i="9"/>
  <c r="BX6" i="9" s="1"/>
  <c r="CV7" i="9"/>
  <c r="CV6" i="9" s="1"/>
  <c r="CH7" i="9"/>
  <c r="CH6" i="9" s="1"/>
  <c r="BG7" i="9"/>
  <c r="BG6" i="9" s="1"/>
  <c r="AP7" i="9"/>
  <c r="AP6" i="9" s="1"/>
  <c r="K7" i="9"/>
  <c r="K6" i="9" s="1"/>
  <c r="CY7" i="9"/>
  <c r="CY6" i="9" s="1"/>
  <c r="BO7" i="9"/>
  <c r="BO6" i="9" s="1"/>
  <c r="DQ7" i="9"/>
  <c r="DQ6" i="9" s="1"/>
  <c r="AL7" i="9"/>
  <c r="AL6" i="9" s="1"/>
  <c r="AU7" i="9"/>
  <c r="AU6" i="9" s="1"/>
  <c r="EA7" i="9"/>
  <c r="EA6" i="9" s="1"/>
  <c r="AL9" i="9" l="1"/>
  <c r="AH48" i="9"/>
  <c r="AH9" i="9"/>
  <c r="AK22" i="9"/>
  <c r="AO35" i="9"/>
  <c r="AH35" i="9"/>
  <c r="AG22" i="9"/>
  <c r="AK35" i="9"/>
  <c r="AP22" i="9"/>
  <c r="AG35" i="9"/>
  <c r="AG48" i="9"/>
  <c r="AL48" i="9"/>
  <c r="AH22" i="9"/>
  <c r="AI22" i="9"/>
  <c r="AR48" i="9"/>
  <c r="AM9" i="9"/>
  <c r="AR35" i="9"/>
  <c r="AL35" i="9"/>
  <c r="AU5" i="9"/>
  <c r="AM35" i="9"/>
  <c r="AN35" i="9"/>
  <c r="AI9" i="9"/>
  <c r="AL22" i="9"/>
  <c r="AP9" i="9"/>
  <c r="AS22" i="9"/>
  <c r="AQ9" i="9"/>
  <c r="AP48" i="9"/>
  <c r="AS48" i="9"/>
  <c r="AK48" i="9"/>
  <c r="AO22" i="9"/>
  <c r="AM48" i="9"/>
  <c r="AJ9" i="9"/>
  <c r="AP35" i="9"/>
  <c r="AS9" i="9"/>
  <c r="AO48" i="9"/>
  <c r="AG9" i="9"/>
  <c r="AI35" i="9"/>
  <c r="AN9" i="9"/>
  <c r="AR9" i="9"/>
  <c r="AN48" i="9"/>
  <c r="AQ48" i="9"/>
  <c r="AK9" i="9"/>
  <c r="AM22" i="9"/>
  <c r="AJ48" i="9"/>
  <c r="AJ22" i="9"/>
  <c r="AO9" i="9"/>
  <c r="AQ35" i="9"/>
  <c r="AQ22" i="9"/>
  <c r="AR22" i="9"/>
  <c r="AJ35" i="9"/>
  <c r="AN22" i="9"/>
  <c r="AS35" i="9"/>
  <c r="AI48" i="9"/>
  <c r="AT11" i="7"/>
  <c r="E107" i="11"/>
  <c r="E110" i="11"/>
  <c r="E109" i="11"/>
  <c r="E108" i="11"/>
  <c r="E54" i="11"/>
  <c r="E55" i="11"/>
  <c r="E53" i="11"/>
  <c r="E52" i="11"/>
  <c r="E87" i="11"/>
  <c r="E89" i="11"/>
  <c r="E88" i="11"/>
  <c r="E90" i="11"/>
  <c r="E68" i="11"/>
  <c r="E70" i="11"/>
  <c r="E67" i="11"/>
  <c r="E69" i="11"/>
  <c r="H15" i="7"/>
  <c r="J15" i="7" a="1"/>
  <c r="J15" i="7" s="1"/>
  <c r="G15" i="7" a="1"/>
  <c r="G15" i="7" s="1"/>
  <c r="E15" i="7" a="1"/>
  <c r="E15" i="7" s="1"/>
  <c r="C16" i="7" a="1"/>
  <c r="C16" i="7" s="1"/>
  <c r="E103" i="11"/>
  <c r="E104" i="11"/>
  <c r="E105" i="11"/>
  <c r="E102" i="11"/>
  <c r="AF11" i="7" a="1"/>
  <c r="AF11" i="7" s="1"/>
  <c r="F14" i="7"/>
  <c r="D14" i="7"/>
  <c r="I14" i="7" s="1" a="1"/>
  <c r="I14" i="7" s="1"/>
  <c r="E82" i="11"/>
  <c r="E84" i="11"/>
  <c r="E85" i="11"/>
  <c r="E83" i="11"/>
  <c r="D24" i="11"/>
  <c r="E75" i="11"/>
  <c r="E72" i="11"/>
  <c r="E73" i="11"/>
  <c r="E74" i="11"/>
  <c r="E98" i="11"/>
  <c r="E99" i="11"/>
  <c r="E97" i="11"/>
  <c r="E100" i="11"/>
  <c r="E94" i="11"/>
  <c r="E95" i="11"/>
  <c r="E93" i="11"/>
  <c r="E92" i="11"/>
  <c r="E77" i="11"/>
  <c r="E78" i="11"/>
  <c r="E79" i="11"/>
  <c r="E80" i="11"/>
  <c r="E65" i="11"/>
  <c r="E63" i="11"/>
  <c r="E62" i="11"/>
  <c r="E64" i="11"/>
  <c r="E57" i="11"/>
  <c r="E58" i="11"/>
  <c r="E59" i="11"/>
  <c r="E60" i="11"/>
  <c r="V13" i="7"/>
  <c r="U13" i="7"/>
  <c r="R13" i="7"/>
  <c r="Q13" i="7"/>
  <c r="P13" i="7"/>
  <c r="O13" i="7"/>
  <c r="T13" i="7"/>
  <c r="N13" i="7" a="1"/>
  <c r="N13" i="7" s="1"/>
  <c r="S13" i="7"/>
  <c r="M13" i="7" a="1"/>
  <c r="M13" i="7" s="1"/>
  <c r="X13" i="7"/>
  <c r="W13" i="7"/>
  <c r="AX22" i="9" l="1"/>
  <c r="BD22" i="9"/>
  <c r="BF35" i="9"/>
  <c r="AZ35" i="9"/>
  <c r="AV35" i="9"/>
  <c r="BF9" i="9"/>
  <c r="AU35" i="9"/>
  <c r="AU48" i="9"/>
  <c r="BG35" i="9"/>
  <c r="BD48" i="9"/>
  <c r="AU9" i="9"/>
  <c r="AW9" i="9"/>
  <c r="BC35" i="9"/>
  <c r="AW48" i="9"/>
  <c r="BA35" i="9"/>
  <c r="AZ9" i="9"/>
  <c r="BG9" i="9"/>
  <c r="BI5" i="9"/>
  <c r="BB35" i="9"/>
  <c r="BE9" i="9"/>
  <c r="AY22" i="9"/>
  <c r="AW22" i="9"/>
  <c r="BE48" i="9"/>
  <c r="BE35" i="9"/>
  <c r="BA9" i="9"/>
  <c r="BC22" i="9"/>
  <c r="AW35" i="9"/>
  <c r="AV48" i="9"/>
  <c r="AY48" i="9"/>
  <c r="BB48" i="9"/>
  <c r="BC48" i="9"/>
  <c r="AX9" i="9"/>
  <c r="BC9" i="9"/>
  <c r="AX48" i="9"/>
  <c r="BE22" i="9"/>
  <c r="AZ22" i="9"/>
  <c r="BD35" i="9"/>
  <c r="BA48" i="9"/>
  <c r="AV22" i="9"/>
  <c r="AZ48" i="9"/>
  <c r="BF22" i="9"/>
  <c r="AY9" i="9"/>
  <c r="AX35" i="9"/>
  <c r="BF48" i="9"/>
  <c r="BA22" i="9"/>
  <c r="BG22" i="9"/>
  <c r="BD9" i="9"/>
  <c r="BB9" i="9"/>
  <c r="AV9" i="9"/>
  <c r="BB22" i="9"/>
  <c r="AU22" i="9"/>
  <c r="BG48" i="9"/>
  <c r="AY35" i="9"/>
  <c r="F69" i="11"/>
  <c r="F59" i="11"/>
  <c r="F68" i="11"/>
  <c r="F62" i="11"/>
  <c r="F73" i="11"/>
  <c r="F90" i="11"/>
  <c r="F88" i="11"/>
  <c r="F58" i="11"/>
  <c r="F89" i="11"/>
  <c r="F99" i="11"/>
  <c r="F80" i="11"/>
  <c r="F102" i="11"/>
  <c r="F87" i="11"/>
  <c r="F75" i="11"/>
  <c r="F79" i="11"/>
  <c r="F83" i="11"/>
  <c r="F105" i="11"/>
  <c r="F52" i="11"/>
  <c r="F57" i="11"/>
  <c r="F70" i="11"/>
  <c r="F74" i="11"/>
  <c r="F78" i="11"/>
  <c r="F85" i="11"/>
  <c r="F104" i="11"/>
  <c r="F53" i="11"/>
  <c r="F72" i="11"/>
  <c r="F77" i="11"/>
  <c r="F84" i="11"/>
  <c r="F103" i="11"/>
  <c r="F55" i="11"/>
  <c r="F97" i="11"/>
  <c r="F65" i="11"/>
  <c r="C17" i="7" a="1"/>
  <c r="C17" i="7" s="1"/>
  <c r="E16" i="7" a="1"/>
  <c r="E16" i="7" s="1"/>
  <c r="J16" i="7" a="1"/>
  <c r="J16" i="7" s="1"/>
  <c r="G16" i="7" a="1"/>
  <c r="G16" i="7" s="1"/>
  <c r="H16" i="7"/>
  <c r="F54" i="11"/>
  <c r="F64" i="11"/>
  <c r="D15" i="7"/>
  <c r="I15" i="7" s="1" a="1"/>
  <c r="I15" i="7" s="1"/>
  <c r="F15" i="7"/>
  <c r="F108" i="11"/>
  <c r="F109" i="11"/>
  <c r="F98" i="11"/>
  <c r="F92" i="11"/>
  <c r="F82" i="11"/>
  <c r="F94" i="11"/>
  <c r="F110" i="11"/>
  <c r="F67" i="11"/>
  <c r="Y13" i="7"/>
  <c r="F63" i="11"/>
  <c r="F93" i="11"/>
  <c r="F95" i="11"/>
  <c r="F60" i="11"/>
  <c r="F100" i="11"/>
  <c r="N14" i="7" a="1"/>
  <c r="N14" i="7" s="1"/>
  <c r="M14" i="7" a="1"/>
  <c r="M14" i="7" s="1"/>
  <c r="V14" i="7" s="1"/>
  <c r="F107" i="11"/>
  <c r="O14" i="7" l="1"/>
  <c r="Q14" i="7"/>
  <c r="BO48" i="9"/>
  <c r="BS22" i="9"/>
  <c r="BL35" i="9"/>
  <c r="BR48" i="9"/>
  <c r="BJ48" i="9"/>
  <c r="BM35" i="9"/>
  <c r="BQ48" i="9"/>
  <c r="BI48" i="9"/>
  <c r="BK22" i="9"/>
  <c r="BL22" i="9"/>
  <c r="BJ9" i="9"/>
  <c r="BP35" i="9"/>
  <c r="BM48" i="9"/>
  <c r="BR22" i="9"/>
  <c r="BR9" i="9"/>
  <c r="BS9" i="9"/>
  <c r="BJ35" i="9"/>
  <c r="BK9" i="9"/>
  <c r="BU48" i="9"/>
  <c r="BN9" i="9"/>
  <c r="BT48" i="9"/>
  <c r="BI9" i="9"/>
  <c r="BN48" i="9"/>
  <c r="BS35" i="9"/>
  <c r="BL9" i="9"/>
  <c r="BR35" i="9"/>
  <c r="BN35" i="9"/>
  <c r="BK48" i="9"/>
  <c r="BQ35" i="9"/>
  <c r="BL48" i="9"/>
  <c r="BP48" i="9"/>
  <c r="BU35" i="9"/>
  <c r="BU9" i="9"/>
  <c r="BT35" i="9"/>
  <c r="BS48" i="9"/>
  <c r="BQ22" i="9"/>
  <c r="BT9" i="9"/>
  <c r="BI22" i="9"/>
  <c r="BQ9" i="9"/>
  <c r="BO22" i="9"/>
  <c r="BT22" i="9"/>
  <c r="BP22" i="9"/>
  <c r="BJ22" i="9"/>
  <c r="BI35" i="9"/>
  <c r="BU22" i="9"/>
  <c r="BW5" i="9"/>
  <c r="BM9" i="9"/>
  <c r="BK35" i="9"/>
  <c r="BM22" i="9"/>
  <c r="BP9" i="9"/>
  <c r="BN22" i="9"/>
  <c r="BO35" i="9"/>
  <c r="BO9" i="9"/>
  <c r="N15" i="7" a="1"/>
  <c r="N15" i="7" s="1"/>
  <c r="M15" i="7" a="1"/>
  <c r="M15" i="7" s="1"/>
  <c r="T14" i="7"/>
  <c r="F16" i="7"/>
  <c r="D16" i="7"/>
  <c r="I16" i="7" s="1" a="1"/>
  <c r="I16" i="7" s="1"/>
  <c r="C18" i="7" a="1"/>
  <c r="C18" i="7" s="1"/>
  <c r="E17" i="7" a="1"/>
  <c r="E17" i="7" s="1"/>
  <c r="G17" i="7" a="1"/>
  <c r="G17" i="7" s="1"/>
  <c r="H17" i="7"/>
  <c r="J17" i="7" a="1"/>
  <c r="J17" i="7" s="1"/>
  <c r="O15" i="7" l="1"/>
  <c r="CB9" i="9"/>
  <c r="CI9" i="9"/>
  <c r="CD48" i="9"/>
  <c r="BW9" i="9"/>
  <c r="CE9" i="9"/>
  <c r="CG48" i="9"/>
  <c r="CH9" i="9"/>
  <c r="CG22" i="9"/>
  <c r="BZ48" i="9"/>
  <c r="CD35" i="9"/>
  <c r="BZ9" i="9"/>
  <c r="CF9" i="9"/>
  <c r="CI22" i="9"/>
  <c r="CC9" i="9"/>
  <c r="CE22" i="9"/>
  <c r="BZ35" i="9"/>
  <c r="CB22" i="9"/>
  <c r="CA35" i="9"/>
  <c r="BZ22" i="9"/>
  <c r="CH48" i="9"/>
  <c r="BW35" i="9"/>
  <c r="CC35" i="9"/>
  <c r="BY22" i="9"/>
  <c r="CC48" i="9"/>
  <c r="BY9" i="9"/>
  <c r="CI35" i="9"/>
  <c r="BX9" i="9"/>
  <c r="BY35" i="9"/>
  <c r="CA48" i="9"/>
  <c r="CK5" i="9"/>
  <c r="CG9" i="9"/>
  <c r="CC22" i="9"/>
  <c r="CE35" i="9"/>
  <c r="CD22" i="9"/>
  <c r="CB48" i="9"/>
  <c r="BW22" i="9"/>
  <c r="CI48" i="9"/>
  <c r="CF35" i="9"/>
  <c r="CA22" i="9"/>
  <c r="CH35" i="9"/>
  <c r="BW48" i="9"/>
  <c r="CF48" i="9"/>
  <c r="BY48" i="9"/>
  <c r="BX22" i="9"/>
  <c r="CE48" i="9"/>
  <c r="CH22" i="9"/>
  <c r="CB35" i="9"/>
  <c r="CA9" i="9"/>
  <c r="BX48" i="9"/>
  <c r="BX35" i="9"/>
  <c r="CD9" i="9"/>
  <c r="CG35" i="9"/>
  <c r="CF22" i="9"/>
  <c r="T15" i="7"/>
  <c r="Q15" i="7"/>
  <c r="V15" i="7"/>
  <c r="J18" i="7" a="1"/>
  <c r="J18" i="7" s="1"/>
  <c r="C19" i="7" a="1"/>
  <c r="C19" i="7" s="1"/>
  <c r="H18" i="7"/>
  <c r="E18" i="7" a="1"/>
  <c r="E18" i="7" s="1"/>
  <c r="G18" i="7" a="1"/>
  <c r="G18" i="7" s="1"/>
  <c r="F17" i="7"/>
  <c r="D17" i="7"/>
  <c r="I17" i="7" s="1" a="1"/>
  <c r="I17" i="7" s="1"/>
  <c r="N16" i="7" a="1"/>
  <c r="N16" i="7" s="1"/>
  <c r="M16" i="7" a="1"/>
  <c r="M16" i="7" s="1"/>
  <c r="V16" i="7" s="1"/>
  <c r="T16" i="7" l="1"/>
  <c r="Q16" i="7"/>
  <c r="O16" i="7"/>
  <c r="CQ9" i="9"/>
  <c r="CP9" i="9"/>
  <c r="CP48" i="9"/>
  <c r="CO35" i="9"/>
  <c r="CR48" i="9"/>
  <c r="CR22" i="9"/>
  <c r="CS35" i="9"/>
  <c r="CV35" i="9"/>
  <c r="CV22" i="9"/>
  <c r="CS9" i="9"/>
  <c r="CR35" i="9"/>
  <c r="CW22" i="9"/>
  <c r="CL9" i="9"/>
  <c r="CK22" i="9"/>
  <c r="CR9" i="9"/>
  <c r="CW9" i="9"/>
  <c r="CU9" i="9"/>
  <c r="CN35" i="9"/>
  <c r="CL48" i="9"/>
  <c r="CN9" i="9"/>
  <c r="CK48" i="9"/>
  <c r="CM22" i="9"/>
  <c r="CW35" i="9"/>
  <c r="CM48" i="9"/>
  <c r="CQ22" i="9"/>
  <c r="CU35" i="9"/>
  <c r="CQ48" i="9"/>
  <c r="CT35" i="9"/>
  <c r="CK35" i="9"/>
  <c r="CK9" i="9"/>
  <c r="CT9" i="9"/>
  <c r="CV48" i="9"/>
  <c r="CT22" i="9"/>
  <c r="CO22" i="9"/>
  <c r="CP22" i="9"/>
  <c r="CL35" i="9"/>
  <c r="CM35" i="9"/>
  <c r="CO9" i="9"/>
  <c r="CS22" i="9"/>
  <c r="CY5" i="9"/>
  <c r="CP35" i="9"/>
  <c r="CM9" i="9"/>
  <c r="CU22" i="9"/>
  <c r="CT48" i="9"/>
  <c r="CO48" i="9"/>
  <c r="CV9" i="9"/>
  <c r="CW48" i="9"/>
  <c r="CS48" i="9"/>
  <c r="CL22" i="9"/>
  <c r="CN22" i="9"/>
  <c r="CN48" i="9"/>
  <c r="CQ35" i="9"/>
  <c r="CU48" i="9"/>
  <c r="Q17" i="7"/>
  <c r="U17" i="7"/>
  <c r="X17" i="7"/>
  <c r="V17" i="7"/>
  <c r="O17" i="7"/>
  <c r="S17" i="7"/>
  <c r="N17" i="7" a="1"/>
  <c r="N17" i="7" s="1"/>
  <c r="T17" i="7"/>
  <c r="M17" i="7" a="1"/>
  <c r="M17" i="7" s="1"/>
  <c r="P17" i="7"/>
  <c r="R17" i="7"/>
  <c r="W17" i="7"/>
  <c r="L18" i="7" a="1"/>
  <c r="L18" i="7" s="1"/>
  <c r="K18" i="7" a="1"/>
  <c r="K18" i="7" s="1"/>
  <c r="D18" i="7"/>
  <c r="I18" i="7" s="1" a="1"/>
  <c r="I18" i="7" s="1"/>
  <c r="F18" i="7"/>
  <c r="AD18" i="7"/>
  <c r="AB18" i="7" a="1"/>
  <c r="AB18" i="7" s="1"/>
  <c r="AC18" i="7" a="1"/>
  <c r="AC18" i="7" s="1"/>
  <c r="Z18" i="7"/>
  <c r="Y18" i="7"/>
  <c r="AA18" i="7"/>
  <c r="C20" i="7" a="1"/>
  <c r="C20" i="7" s="1"/>
  <c r="G19" i="7" a="1"/>
  <c r="G19" i="7" s="1"/>
  <c r="E19" i="7" a="1"/>
  <c r="E19" i="7" s="1"/>
  <c r="H19" i="7"/>
  <c r="J19" i="7" a="1"/>
  <c r="J19" i="7" s="1"/>
  <c r="DJ48" i="9" l="1"/>
  <c r="DH22" i="9"/>
  <c r="DC22" i="9"/>
  <c r="DJ35" i="9"/>
  <c r="DG35" i="9"/>
  <c r="DC35" i="9"/>
  <c r="CY48" i="9"/>
  <c r="DK35" i="9"/>
  <c r="DD9" i="9"/>
  <c r="DA9" i="9"/>
  <c r="DI48" i="9"/>
  <c r="DF48" i="9"/>
  <c r="CZ22" i="9"/>
  <c r="DE9" i="9"/>
  <c r="DF9" i="9"/>
  <c r="DJ22" i="9"/>
  <c r="DK48" i="9"/>
  <c r="CY35" i="9"/>
  <c r="DD35" i="9"/>
  <c r="CZ48" i="9"/>
  <c r="DF22" i="9"/>
  <c r="CZ35" i="9"/>
  <c r="DI22" i="9"/>
  <c r="DF35" i="9"/>
  <c r="DI35" i="9"/>
  <c r="DB9" i="9"/>
  <c r="DH35" i="9"/>
  <c r="DD22" i="9"/>
  <c r="DG22" i="9"/>
  <c r="DA22" i="9"/>
  <c r="DE22" i="9"/>
  <c r="DG48" i="9"/>
  <c r="CY22" i="9"/>
  <c r="DA48" i="9"/>
  <c r="DI9" i="9"/>
  <c r="DK9" i="9"/>
  <c r="DG9" i="9"/>
  <c r="DD48" i="9"/>
  <c r="DE48" i="9"/>
  <c r="DA35" i="9"/>
  <c r="DC9" i="9"/>
  <c r="DH48" i="9"/>
  <c r="DM5" i="9"/>
  <c r="DB48" i="9"/>
  <c r="DK22" i="9"/>
  <c r="DH9" i="9"/>
  <c r="CZ9" i="9"/>
  <c r="DB22" i="9"/>
  <c r="DC48" i="9"/>
  <c r="CY9" i="9"/>
  <c r="DJ9" i="9"/>
  <c r="DE35" i="9"/>
  <c r="DB35" i="9"/>
  <c r="K19" i="7" a="1"/>
  <c r="K19" i="7" s="1"/>
  <c r="F19" i="7"/>
  <c r="L19" i="7" a="1"/>
  <c r="L19" i="7" s="1"/>
  <c r="D19" i="7"/>
  <c r="I19" i="7" s="1" a="1"/>
  <c r="I19" i="7" s="1"/>
  <c r="C21" i="7" a="1"/>
  <c r="C21" i="7" s="1"/>
  <c r="E20" i="7" a="1"/>
  <c r="E20" i="7" s="1"/>
  <c r="G20" i="7" a="1"/>
  <c r="G20" i="7" s="1"/>
  <c r="J20" i="7" a="1"/>
  <c r="J20" i="7" s="1"/>
  <c r="H20" i="7"/>
  <c r="M18" i="7" a="1"/>
  <c r="M18" i="7" s="1"/>
  <c r="W18" i="7"/>
  <c r="P18" i="7"/>
  <c r="U18" i="7"/>
  <c r="X18" i="7"/>
  <c r="V18" i="7"/>
  <c r="T18" i="7"/>
  <c r="Q18" i="7"/>
  <c r="O18" i="7"/>
  <c r="S18" i="7"/>
  <c r="N18" i="7" a="1"/>
  <c r="N18" i="7" s="1"/>
  <c r="R18" i="7"/>
  <c r="AA19" i="7"/>
  <c r="AC19" i="7" a="1"/>
  <c r="AC19" i="7" s="1"/>
  <c r="Z19" i="7"/>
  <c r="AB19" i="7" a="1"/>
  <c r="AB19" i="7" s="1"/>
  <c r="AD19" i="7"/>
  <c r="DQ22" i="9" l="1"/>
  <c r="DU22" i="9"/>
  <c r="DM9" i="9"/>
  <c r="DY22" i="9"/>
  <c r="DW9" i="9"/>
  <c r="DN22" i="9"/>
  <c r="EA5" i="9"/>
  <c r="DQ35" i="9"/>
  <c r="DV48" i="9"/>
  <c r="DW22" i="9"/>
  <c r="DR48" i="9"/>
  <c r="DR9" i="9"/>
  <c r="DS9" i="9"/>
  <c r="DO48" i="9"/>
  <c r="DM48" i="9"/>
  <c r="DQ9" i="9"/>
  <c r="DM22" i="9"/>
  <c r="DV35" i="9"/>
  <c r="DS35" i="9"/>
  <c r="DT22" i="9"/>
  <c r="DY48" i="9"/>
  <c r="DO22" i="9"/>
  <c r="DO9" i="9"/>
  <c r="DS48" i="9"/>
  <c r="DT48" i="9"/>
  <c r="DN48" i="9"/>
  <c r="DN35" i="9"/>
  <c r="DY35" i="9"/>
  <c r="DV9" i="9"/>
  <c r="DU9" i="9"/>
  <c r="DQ48" i="9"/>
  <c r="DX48" i="9"/>
  <c r="DR35" i="9"/>
  <c r="DN9" i="9"/>
  <c r="DW35" i="9"/>
  <c r="DO35" i="9"/>
  <c r="DT9" i="9"/>
  <c r="DX9" i="9"/>
  <c r="DV22" i="9"/>
  <c r="DW48" i="9"/>
  <c r="DT35" i="9"/>
  <c r="DP22" i="9"/>
  <c r="DU48" i="9"/>
  <c r="DS22" i="9"/>
  <c r="DM35" i="9"/>
  <c r="DX35" i="9"/>
  <c r="DY9" i="9"/>
  <c r="DU35" i="9"/>
  <c r="DP48" i="9"/>
  <c r="DX22" i="9"/>
  <c r="DP35" i="9"/>
  <c r="DR22" i="9"/>
  <c r="DP9" i="9"/>
  <c r="D20" i="7"/>
  <c r="I20" i="7" s="1" a="1"/>
  <c r="I20" i="7" s="1"/>
  <c r="F20" i="7"/>
  <c r="W19" i="7"/>
  <c r="M19" i="7" a="1"/>
  <c r="M19" i="7" s="1"/>
  <c r="P19" i="7"/>
  <c r="Q19" i="7"/>
  <c r="U19" i="7"/>
  <c r="V19" i="7"/>
  <c r="S19" i="7"/>
  <c r="R19" i="7"/>
  <c r="X19" i="7"/>
  <c r="T19" i="7"/>
  <c r="N19" i="7" a="1"/>
  <c r="N19" i="7" s="1"/>
  <c r="O19" i="7"/>
  <c r="H21" i="7"/>
  <c r="C22" i="7" a="1"/>
  <c r="C22" i="7" s="1"/>
  <c r="J21" i="7" a="1"/>
  <c r="J21" i="7" s="1"/>
  <c r="G21" i="7" a="1"/>
  <c r="G21" i="7" s="1"/>
  <c r="E21" i="7" a="1"/>
  <c r="E21" i="7" s="1"/>
  <c r="EF48" i="9" l="1"/>
  <c r="EI22" i="9"/>
  <c r="EB22" i="9"/>
  <c r="ED35" i="9"/>
  <c r="ED48" i="9"/>
  <c r="EB35" i="9"/>
  <c r="EB48" i="9"/>
  <c r="EG35" i="9"/>
  <c r="EM9" i="9"/>
  <c r="EC9" i="9"/>
  <c r="ED22" i="9"/>
  <c r="EH22" i="9"/>
  <c r="EI48" i="9"/>
  <c r="EK48" i="9"/>
  <c r="EJ22" i="9"/>
  <c r="EJ48" i="9"/>
  <c r="EK9" i="9"/>
  <c r="EO5" i="9"/>
  <c r="EL35" i="9"/>
  <c r="EM35" i="9"/>
  <c r="EK22" i="9"/>
  <c r="EG22" i="9"/>
  <c r="EM48" i="9"/>
  <c r="EL22" i="9"/>
  <c r="ED9" i="9"/>
  <c r="EG9" i="9"/>
  <c r="EC22" i="9"/>
  <c r="EA48" i="9"/>
  <c r="EF22" i="9"/>
  <c r="EF35" i="9"/>
  <c r="EL48" i="9"/>
  <c r="EA9" i="9"/>
  <c r="EC48" i="9"/>
  <c r="EE48" i="9"/>
  <c r="EI35" i="9"/>
  <c r="EH9" i="9"/>
  <c r="EJ35" i="9"/>
  <c r="EB9" i="9"/>
  <c r="EM22" i="9"/>
  <c r="EJ9" i="9"/>
  <c r="EH35" i="9"/>
  <c r="EE22" i="9"/>
  <c r="EH48" i="9"/>
  <c r="EF9" i="9"/>
  <c r="EE35" i="9"/>
  <c r="EA22" i="9"/>
  <c r="EC35" i="9"/>
  <c r="EE9" i="9"/>
  <c r="EL9" i="9"/>
  <c r="EK35" i="9"/>
  <c r="EG48" i="9"/>
  <c r="EI9" i="9"/>
  <c r="EA35" i="9"/>
  <c r="C23" i="7" a="1"/>
  <c r="C23" i="7" s="1"/>
  <c r="G22" i="7" a="1"/>
  <c r="G22" i="7" s="1"/>
  <c r="H22" i="7"/>
  <c r="E22" i="7" a="1"/>
  <c r="E22" i="7" s="1"/>
  <c r="J22" i="7" a="1"/>
  <c r="J22" i="7" s="1"/>
  <c r="M20" i="7" a="1"/>
  <c r="M20" i="7" s="1"/>
  <c r="N20" i="7" a="1"/>
  <c r="N20" i="7" s="1"/>
  <c r="F21" i="7"/>
  <c r="D21" i="7"/>
  <c r="I21" i="7" s="1" a="1"/>
  <c r="I21" i="7" s="1"/>
  <c r="T20" i="7" l="1"/>
  <c r="FA22" i="9"/>
  <c r="EQ48" i="9"/>
  <c r="ET22" i="9"/>
  <c r="EQ35" i="9"/>
  <c r="EX22" i="9"/>
  <c r="EW48" i="9"/>
  <c r="ES48" i="9"/>
  <c r="EQ22" i="9"/>
  <c r="ET9" i="9"/>
  <c r="ET35" i="9"/>
  <c r="ES35" i="9"/>
  <c r="EV35" i="9"/>
  <c r="ES22" i="9"/>
  <c r="EY9" i="9"/>
  <c r="ER9" i="9"/>
  <c r="FA48" i="9"/>
  <c r="EZ35" i="9"/>
  <c r="EZ9" i="9"/>
  <c r="EU48" i="9"/>
  <c r="EQ9" i="9"/>
  <c r="L22" i="7" s="1" a="1"/>
  <c r="L22" i="7" s="1"/>
  <c r="EX9" i="9"/>
  <c r="EP48" i="9"/>
  <c r="EV9" i="9"/>
  <c r="EY48" i="9"/>
  <c r="EO9" i="9"/>
  <c r="J87" i="11" s="1" a="1"/>
  <c r="J87" i="11" s="1"/>
  <c r="EY22" i="9"/>
  <c r="EP22" i="9"/>
  <c r="ES9" i="9"/>
  <c r="EZ22" i="9"/>
  <c r="ER48" i="9"/>
  <c r="FA35" i="9"/>
  <c r="EU35" i="9"/>
  <c r="EV22" i="9"/>
  <c r="EW35" i="9"/>
  <c r="ET48" i="9"/>
  <c r="EW9" i="9"/>
  <c r="EU22" i="9"/>
  <c r="EX48" i="9"/>
  <c r="EU9" i="9"/>
  <c r="ER22" i="9"/>
  <c r="EY35" i="9"/>
  <c r="EX35" i="9"/>
  <c r="ER35" i="9"/>
  <c r="EO22" i="9"/>
  <c r="EO35" i="9"/>
  <c r="EP9" i="9"/>
  <c r="EW22" i="9"/>
  <c r="FA9" i="9"/>
  <c r="EZ48" i="9"/>
  <c r="EV48" i="9"/>
  <c r="EP35" i="9"/>
  <c r="EO48" i="9"/>
  <c r="V20" i="7"/>
  <c r="Q20" i="7"/>
  <c r="O20" i="7"/>
  <c r="D22" i="7"/>
  <c r="I22" i="7" s="1" a="1"/>
  <c r="I22" i="7" s="1"/>
  <c r="F22" i="7"/>
  <c r="M21" i="7" a="1"/>
  <c r="M21" i="7" s="1"/>
  <c r="N21" i="7" a="1"/>
  <c r="N21" i="7" s="1"/>
  <c r="C24" i="7" a="1"/>
  <c r="C24" i="7" s="1"/>
  <c r="E23" i="7" a="1"/>
  <c r="E23" i="7" s="1"/>
  <c r="G23" i="7" a="1"/>
  <c r="G23" i="7" s="1"/>
  <c r="H23" i="7"/>
  <c r="J23" i="7" a="1"/>
  <c r="J23" i="7" s="1"/>
  <c r="J82" i="11" l="1" a="1"/>
  <c r="J82" i="11" s="1"/>
  <c r="J94" i="11" a="1"/>
  <c r="J94" i="11" s="1"/>
  <c r="L20" i="7" a="1"/>
  <c r="L20" i="7" s="1"/>
  <c r="L14" i="7" a="1"/>
  <c r="L14" i="7" s="1"/>
  <c r="L15" i="7" a="1"/>
  <c r="L15" i="7" s="1"/>
  <c r="J85" i="11" a="1"/>
  <c r="J85" i="11" s="1"/>
  <c r="J108" i="11" a="1"/>
  <c r="J108" i="11" s="1"/>
  <c r="J67" i="11" a="1"/>
  <c r="J67" i="11" s="1"/>
  <c r="J105" i="11" a="1"/>
  <c r="J105" i="11" s="1"/>
  <c r="J55" i="11" a="1"/>
  <c r="J55" i="11" s="1"/>
  <c r="J58" i="11" a="1"/>
  <c r="J58" i="11" s="1"/>
  <c r="J89" i="11" a="1"/>
  <c r="J89" i="11" s="1"/>
  <c r="J59" i="11" a="1"/>
  <c r="J59" i="11" s="1"/>
  <c r="J95" i="11" a="1"/>
  <c r="J95" i="11" s="1"/>
  <c r="J64" i="11" a="1"/>
  <c r="J64" i="11" s="1"/>
  <c r="J97" i="11" a="1"/>
  <c r="J97" i="11" s="1"/>
  <c r="J63" i="11" a="1"/>
  <c r="J63" i="11" s="1"/>
  <c r="L16" i="7" a="1"/>
  <c r="L16" i="7" s="1"/>
  <c r="J88" i="11" a="1"/>
  <c r="J88" i="11" s="1"/>
  <c r="J65" i="11" a="1"/>
  <c r="J65" i="11" s="1"/>
  <c r="J72" i="11" a="1"/>
  <c r="J72" i="11" s="1"/>
  <c r="J53" i="11" a="1"/>
  <c r="J53" i="11" s="1"/>
  <c r="J69" i="11" a="1"/>
  <c r="J69" i="11" s="1"/>
  <c r="J75" i="11" a="1"/>
  <c r="J75" i="11" s="1"/>
  <c r="J110" i="11" a="1"/>
  <c r="J110" i="11" s="1"/>
  <c r="J104" i="11" a="1"/>
  <c r="J104" i="11" s="1"/>
  <c r="J109" i="11" a="1"/>
  <c r="J109" i="11" s="1"/>
  <c r="J78" i="11" a="1"/>
  <c r="J78" i="11" s="1"/>
  <c r="J79" i="11" a="1"/>
  <c r="J79" i="11" s="1"/>
  <c r="J99" i="11" a="1"/>
  <c r="J99" i="11" s="1"/>
  <c r="J68" i="11" a="1"/>
  <c r="J68" i="11" s="1"/>
  <c r="J52" i="11" a="1"/>
  <c r="J52" i="11" s="1"/>
  <c r="J60" i="11" a="1"/>
  <c r="J60" i="11" s="1"/>
  <c r="J102" i="11" a="1"/>
  <c r="J102" i="11" s="1"/>
  <c r="J54" i="11" a="1"/>
  <c r="J54" i="11" s="1"/>
  <c r="J103" i="11" a="1"/>
  <c r="J103" i="11" s="1"/>
  <c r="J77" i="11" a="1"/>
  <c r="J77" i="11" s="1"/>
  <c r="J90" i="11" a="1"/>
  <c r="J90" i="11" s="1"/>
  <c r="J84" i="11" a="1"/>
  <c r="J84" i="11" s="1"/>
  <c r="J83" i="11" a="1"/>
  <c r="J83" i="11" s="1"/>
  <c r="J93" i="11" a="1"/>
  <c r="J93" i="11" s="1"/>
  <c r="J80" i="11" a="1"/>
  <c r="J80" i="11" s="1"/>
  <c r="J70" i="11" a="1"/>
  <c r="J70" i="11" s="1"/>
  <c r="J92" i="11" a="1"/>
  <c r="J92" i="11" s="1"/>
  <c r="J100" i="11" a="1"/>
  <c r="J100" i="11" s="1"/>
  <c r="J98" i="11" a="1"/>
  <c r="J98" i="11" s="1"/>
  <c r="J107" i="11" a="1"/>
  <c r="J107" i="11" s="1"/>
  <c r="J57" i="11" a="1"/>
  <c r="J57" i="11" s="1"/>
  <c r="J73" i="11" a="1"/>
  <c r="J73" i="11" s="1"/>
  <c r="L17" i="7" a="1"/>
  <c r="L17" i="7" s="1"/>
  <c r="J74" i="11" a="1"/>
  <c r="J74" i="11" s="1"/>
  <c r="L21" i="7" a="1"/>
  <c r="L21" i="7" s="1"/>
  <c r="J62" i="11" a="1"/>
  <c r="J62" i="11" s="1"/>
  <c r="T21" i="7"/>
  <c r="O21" i="7"/>
  <c r="V21" i="7"/>
  <c r="D23" i="7"/>
  <c r="I23" i="7" s="1" a="1"/>
  <c r="I23" i="7" s="1"/>
  <c r="L23" i="7" a="1"/>
  <c r="L23" i="7" s="1"/>
  <c r="F23" i="7"/>
  <c r="Q21" i="7"/>
  <c r="N22" i="7" a="1"/>
  <c r="N22" i="7" s="1"/>
  <c r="M22" i="7" a="1"/>
  <c r="M22" i="7" s="1"/>
  <c r="J24" i="7" a="1"/>
  <c r="J24" i="7" s="1"/>
  <c r="H24" i="7"/>
  <c r="E24" i="7" a="1"/>
  <c r="E24" i="7" s="1"/>
  <c r="G24" i="7" a="1"/>
  <c r="G24" i="7" s="1"/>
  <c r="C25" i="7" a="1"/>
  <c r="C25" i="7" s="1"/>
  <c r="R14" i="7"/>
  <c r="R15" i="7"/>
  <c r="R20" i="7"/>
  <c r="R21" i="7"/>
  <c r="R16" i="7"/>
  <c r="Q22" i="7" l="1"/>
  <c r="H25" i="7"/>
  <c r="G25" i="7" a="1"/>
  <c r="G25" i="7" s="1"/>
  <c r="E25" i="7" a="1"/>
  <c r="E25" i="7" s="1"/>
  <c r="J25" i="7" a="1"/>
  <c r="J25" i="7" s="1"/>
  <c r="C26" i="7" a="1"/>
  <c r="C26" i="7" s="1"/>
  <c r="M23" i="7" a="1"/>
  <c r="M23" i="7" s="1"/>
  <c r="N23" i="7" a="1"/>
  <c r="N23" i="7" s="1"/>
  <c r="F24" i="7"/>
  <c r="L24" i="7" a="1"/>
  <c r="L24" i="7" s="1"/>
  <c r="D24" i="7"/>
  <c r="I24" i="7" s="1" a="1"/>
  <c r="I24" i="7" s="1"/>
  <c r="T22" i="7"/>
  <c r="O22" i="7"/>
  <c r="V22" i="7"/>
  <c r="R22" i="7"/>
  <c r="T23" i="7" l="1"/>
  <c r="Q23" i="7"/>
  <c r="O23" i="7"/>
  <c r="H26" i="7"/>
  <c r="E26" i="7" a="1"/>
  <c r="E26" i="7" s="1"/>
  <c r="G26" i="7" a="1"/>
  <c r="G26" i="7" s="1"/>
  <c r="J26" i="7" a="1"/>
  <c r="J26" i="7" s="1"/>
  <c r="C27" i="7" a="1"/>
  <c r="C27" i="7" s="1"/>
  <c r="AB25" i="7" a="1"/>
  <c r="AB25" i="7" s="1"/>
  <c r="AC25" i="7" a="1"/>
  <c r="AC25" i="7" s="1"/>
  <c r="AA25" i="7"/>
  <c r="Z25" i="7"/>
  <c r="Y25" i="7"/>
  <c r="AD25" i="7"/>
  <c r="O24" i="7"/>
  <c r="X24" i="7"/>
  <c r="Q24" i="7"/>
  <c r="V24" i="7"/>
  <c r="S24" i="7"/>
  <c r="T24" i="7"/>
  <c r="N24" i="7" a="1"/>
  <c r="N24" i="7" s="1"/>
  <c r="R24" i="7"/>
  <c r="M24" i="7" a="1"/>
  <c r="M24" i="7" s="1"/>
  <c r="W24" i="7"/>
  <c r="P24" i="7"/>
  <c r="U24" i="7"/>
  <c r="L25" i="7" a="1"/>
  <c r="L25" i="7" s="1"/>
  <c r="K25" i="7" a="1"/>
  <c r="K25" i="7" s="1"/>
  <c r="D25" i="7"/>
  <c r="I25" i="7" s="1" a="1"/>
  <c r="I25" i="7" s="1"/>
  <c r="F25" i="7"/>
  <c r="V23" i="7"/>
  <c r="R23" i="7"/>
  <c r="D26" i="7" l="1"/>
  <c r="I26" i="7" s="1" a="1"/>
  <c r="I26" i="7" s="1"/>
  <c r="F26" i="7"/>
  <c r="L26" i="7" a="1"/>
  <c r="L26" i="7" s="1"/>
  <c r="K26" i="7" a="1"/>
  <c r="K26" i="7" s="1"/>
  <c r="AD26" i="7"/>
  <c r="AA26" i="7"/>
  <c r="AB26" i="7" a="1"/>
  <c r="AB26" i="7" s="1"/>
  <c r="Z26" i="7"/>
  <c r="AC26" i="7" a="1"/>
  <c r="AC26" i="7" s="1"/>
  <c r="V25" i="7"/>
  <c r="Q25" i="7"/>
  <c r="O25" i="7"/>
  <c r="S25" i="7"/>
  <c r="R25" i="7"/>
  <c r="T25" i="7"/>
  <c r="N25" i="7" a="1"/>
  <c r="N25" i="7" s="1"/>
  <c r="W25" i="7"/>
  <c r="P25" i="7"/>
  <c r="X25" i="7"/>
  <c r="U25" i="7"/>
  <c r="M25" i="7" a="1"/>
  <c r="M25" i="7" s="1"/>
  <c r="H27" i="7"/>
  <c r="G27" i="7" a="1"/>
  <c r="G27" i="7" s="1"/>
  <c r="J27" i="7" a="1"/>
  <c r="J27" i="7" s="1"/>
  <c r="C28" i="7" a="1"/>
  <c r="C28" i="7" s="1"/>
  <c r="E27" i="7" a="1"/>
  <c r="E27" i="7" s="1"/>
  <c r="L27" i="7" l="1" a="1"/>
  <c r="L27" i="7" s="1"/>
  <c r="D27" i="7"/>
  <c r="I27" i="7" s="1" a="1"/>
  <c r="I27" i="7" s="1"/>
  <c r="F27" i="7"/>
  <c r="G28" i="7" a="1"/>
  <c r="G28" i="7" s="1"/>
  <c r="J28" i="7" a="1"/>
  <c r="J28" i="7" s="1"/>
  <c r="C29" i="7" a="1"/>
  <c r="C29" i="7" s="1"/>
  <c r="H28" i="7"/>
  <c r="E28" i="7" a="1"/>
  <c r="E28" i="7" s="1"/>
  <c r="Q26" i="7"/>
  <c r="V26" i="7"/>
  <c r="S26" i="7"/>
  <c r="O26" i="7"/>
  <c r="R26" i="7"/>
  <c r="T26" i="7"/>
  <c r="N26" i="7" a="1"/>
  <c r="N26" i="7" s="1"/>
  <c r="W26" i="7"/>
  <c r="P26" i="7"/>
  <c r="X26" i="7"/>
  <c r="U26" i="7"/>
  <c r="M26" i="7" a="1"/>
  <c r="M26" i="7" s="1"/>
  <c r="M27" i="7" l="1" a="1"/>
  <c r="M27" i="7" s="1"/>
  <c r="V27" i="7" s="1"/>
  <c r="J29" i="7" a="1"/>
  <c r="J29" i="7" s="1"/>
  <c r="C30" i="7" a="1"/>
  <c r="C30" i="7" s="1"/>
  <c r="G29" i="7" a="1"/>
  <c r="G29" i="7" s="1"/>
  <c r="E29" i="7" a="1"/>
  <c r="E29" i="7" s="1"/>
  <c r="H29" i="7"/>
  <c r="D28" i="7"/>
  <c r="I28" i="7" s="1" a="1"/>
  <c r="I28" i="7" s="1"/>
  <c r="F28" i="7"/>
  <c r="L28" i="7" a="1"/>
  <c r="L28" i="7" s="1"/>
  <c r="M28" i="7" l="1" a="1"/>
  <c r="M28" i="7" s="1"/>
  <c r="L29" i="7" a="1"/>
  <c r="L29" i="7" s="1"/>
  <c r="F29" i="7"/>
  <c r="D29" i="7"/>
  <c r="I29" i="7" s="1" a="1"/>
  <c r="I29" i="7" s="1"/>
  <c r="C31" i="7" a="1"/>
  <c r="C31" i="7" s="1"/>
  <c r="G30" i="7" a="1"/>
  <c r="G30" i="7" s="1"/>
  <c r="E30" i="7" a="1"/>
  <c r="E30" i="7" s="1"/>
  <c r="H30" i="7"/>
  <c r="J30" i="7" a="1"/>
  <c r="J30" i="7" s="1"/>
  <c r="V28" i="7" l="1"/>
  <c r="L30" i="7" a="1"/>
  <c r="L30" i="7" s="1"/>
  <c r="F30" i="7"/>
  <c r="D30" i="7"/>
  <c r="I30" i="7" s="1" a="1"/>
  <c r="I30" i="7" s="1"/>
  <c r="M29" i="7" a="1"/>
  <c r="M29" i="7" s="1"/>
  <c r="J31" i="7" a="1"/>
  <c r="J31" i="7" s="1"/>
  <c r="G31" i="7" a="1"/>
  <c r="G31" i="7" s="1"/>
  <c r="E31" i="7" a="1"/>
  <c r="E31" i="7" s="1"/>
  <c r="C32" i="7" a="1"/>
  <c r="C32" i="7" s="1"/>
  <c r="H31" i="7"/>
  <c r="F31" i="7" l="1"/>
  <c r="L31" i="7" a="1"/>
  <c r="L31" i="7" s="1"/>
  <c r="D31" i="7"/>
  <c r="I31" i="7" s="1" a="1"/>
  <c r="I31" i="7" s="1"/>
  <c r="V29" i="7"/>
  <c r="M30" i="7" a="1"/>
  <c r="M30" i="7" s="1"/>
  <c r="V30" i="7" s="1"/>
  <c r="H32" i="7"/>
  <c r="C33" i="7" a="1"/>
  <c r="C33" i="7" s="1"/>
  <c r="N28" i="7" s="1" a="1"/>
  <c r="N28" i="7" s="1"/>
  <c r="G32" i="7" a="1"/>
  <c r="G32" i="7" s="1"/>
  <c r="E32" i="7" a="1"/>
  <c r="E32" i="7" s="1"/>
  <c r="J32" i="7" a="1"/>
  <c r="J32" i="7" s="1"/>
  <c r="N30" i="7" l="1" a="1"/>
  <c r="N30" i="7" s="1"/>
  <c r="T28" i="7"/>
  <c r="Q28" i="7"/>
  <c r="O28" i="7"/>
  <c r="N29" i="7" a="1"/>
  <c r="N29" i="7" s="1"/>
  <c r="Q29" i="7" s="1"/>
  <c r="N27" i="7" a="1"/>
  <c r="N27" i="7" s="1"/>
  <c r="Q27" i="7" s="1"/>
  <c r="T30" i="7"/>
  <c r="Q30" i="7"/>
  <c r="O30" i="7"/>
  <c r="H33" i="7"/>
  <c r="C34" i="7" a="1"/>
  <c r="C34" i="7" s="1"/>
  <c r="G33" i="7" a="1"/>
  <c r="G33" i="7" s="1"/>
  <c r="E33" i="7" a="1"/>
  <c r="E33" i="7" s="1"/>
  <c r="J33" i="7" a="1"/>
  <c r="J33" i="7" s="1"/>
  <c r="F32" i="7"/>
  <c r="D32" i="7"/>
  <c r="I32" i="7" s="1" a="1"/>
  <c r="I32" i="7" s="1"/>
  <c r="L32" i="7" a="1"/>
  <c r="L32" i="7" s="1"/>
  <c r="M31" i="7" a="1"/>
  <c r="M31" i="7" s="1"/>
  <c r="N31" i="7" a="1"/>
  <c r="N31" i="7" s="1"/>
  <c r="O29" i="7" l="1"/>
  <c r="T29" i="7"/>
  <c r="T27" i="7"/>
  <c r="O27" i="7"/>
  <c r="O31" i="7"/>
  <c r="Q31" i="7"/>
  <c r="D33" i="7"/>
  <c r="I33" i="7" s="1" a="1"/>
  <c r="I33" i="7" s="1"/>
  <c r="F33" i="7"/>
  <c r="K33" i="7" a="1"/>
  <c r="K33" i="7" s="1"/>
  <c r="L33" i="7" a="1"/>
  <c r="L33" i="7" s="1"/>
  <c r="M32" i="7" a="1"/>
  <c r="M32" i="7" s="1"/>
  <c r="N32" i="7" a="1"/>
  <c r="N32" i="7" s="1"/>
  <c r="V31" i="7"/>
  <c r="T31" i="7"/>
  <c r="E34" i="7" a="1"/>
  <c r="E34" i="7" s="1"/>
  <c r="H34" i="7"/>
  <c r="C35" i="7" a="1"/>
  <c r="C35" i="7" s="1"/>
  <c r="J34" i="7" a="1"/>
  <c r="J34" i="7" s="1"/>
  <c r="G34" i="7" a="1"/>
  <c r="G34" i="7" s="1"/>
  <c r="R30" i="7"/>
  <c r="R29" i="7"/>
  <c r="R31" i="7"/>
  <c r="R28" i="7"/>
  <c r="R27" i="7"/>
  <c r="O32" i="7" l="1"/>
  <c r="V32" i="7"/>
  <c r="Q32" i="7"/>
  <c r="T32" i="7"/>
  <c r="L34" i="7" a="1"/>
  <c r="L34" i="7" s="1"/>
  <c r="F34" i="7"/>
  <c r="D34" i="7"/>
  <c r="I34" i="7" s="1" a="1"/>
  <c r="I34" i="7" s="1"/>
  <c r="K34" i="7" a="1"/>
  <c r="K34" i="7" s="1"/>
  <c r="M33" i="7" a="1"/>
  <c r="M33" i="7" s="1"/>
  <c r="N33" i="7" a="1"/>
  <c r="N33" i="7" s="1"/>
  <c r="J35" i="7" a="1"/>
  <c r="J35" i="7" s="1"/>
  <c r="C36" i="7" a="1"/>
  <c r="C36" i="7" s="1"/>
  <c r="H35" i="7"/>
  <c r="E35" i="7" a="1"/>
  <c r="E35" i="7" s="1"/>
  <c r="G35" i="7" a="1"/>
  <c r="G35" i="7" s="1"/>
  <c r="R32" i="7"/>
  <c r="T33" i="7" l="1"/>
  <c r="V33" i="7"/>
  <c r="Q33" i="7"/>
  <c r="O33" i="7"/>
  <c r="E36" i="7" a="1"/>
  <c r="E36" i="7" s="1"/>
  <c r="G36" i="7" a="1"/>
  <c r="G36" i="7" s="1"/>
  <c r="J36" i="7" a="1"/>
  <c r="J36" i="7" s="1"/>
  <c r="H36" i="7"/>
  <c r="C37" i="7" a="1"/>
  <c r="C37" i="7" s="1"/>
  <c r="T34" i="7"/>
  <c r="N34" i="7" a="1"/>
  <c r="N34" i="7" s="1"/>
  <c r="U34" i="7"/>
  <c r="X34" i="7"/>
  <c r="M34" i="7" a="1"/>
  <c r="M34" i="7" s="1"/>
  <c r="Q34" i="7"/>
  <c r="R34" i="7"/>
  <c r="P34" i="7"/>
  <c r="S34" i="7"/>
  <c r="V34" i="7"/>
  <c r="O34" i="7"/>
  <c r="W34" i="7"/>
  <c r="D35" i="7"/>
  <c r="I35" i="7" s="1" a="1"/>
  <c r="I35" i="7" s="1"/>
  <c r="F35" i="7"/>
  <c r="L35" i="7" a="1"/>
  <c r="L35" i="7" s="1"/>
  <c r="R33" i="7"/>
  <c r="M35" i="7" l="1" a="1"/>
  <c r="M35" i="7" s="1"/>
  <c r="N35" i="7" a="1"/>
  <c r="N35" i="7" s="1"/>
  <c r="E37" i="7" a="1"/>
  <c r="E37" i="7" s="1"/>
  <c r="H37" i="7"/>
  <c r="J37" i="7" a="1"/>
  <c r="J37" i="7" s="1"/>
  <c r="G37" i="7" a="1"/>
  <c r="G37" i="7" s="1"/>
  <c r="C38" i="7" a="1"/>
  <c r="C38" i="7" s="1"/>
  <c r="L36" i="7" a="1"/>
  <c r="L36" i="7" s="1"/>
  <c r="F36" i="7"/>
  <c r="D36" i="7"/>
  <c r="I36" i="7" s="1" a="1"/>
  <c r="I36" i="7" s="1"/>
  <c r="O35" i="7" l="1"/>
  <c r="M36" i="7" a="1"/>
  <c r="M36" i="7" s="1"/>
  <c r="N36" i="7" a="1"/>
  <c r="N36" i="7" s="1"/>
  <c r="Q35" i="7"/>
  <c r="V35" i="7"/>
  <c r="T35" i="7"/>
  <c r="C39" i="7" a="1"/>
  <c r="C39" i="7" s="1"/>
  <c r="E38" i="7" a="1"/>
  <c r="E38" i="7" s="1"/>
  <c r="J38" i="7" a="1"/>
  <c r="J38" i="7" s="1"/>
  <c r="H38" i="7"/>
  <c r="G38" i="7" a="1"/>
  <c r="G38" i="7" s="1"/>
  <c r="F37" i="7"/>
  <c r="L37" i="7" a="1"/>
  <c r="L37" i="7" s="1"/>
  <c r="D37" i="7"/>
  <c r="I37" i="7" s="1" a="1"/>
  <c r="I37" i="7" s="1"/>
  <c r="R35" i="7"/>
  <c r="O36" i="7" l="1"/>
  <c r="V36" i="7"/>
  <c r="Q36" i="7"/>
  <c r="N37" i="7" a="1"/>
  <c r="N37" i="7" s="1"/>
  <c r="M37" i="7" a="1"/>
  <c r="M37" i="7" s="1"/>
  <c r="T36" i="7"/>
  <c r="L38" i="7" a="1"/>
  <c r="L38" i="7" s="1"/>
  <c r="D38" i="7"/>
  <c r="I38" i="7" s="1" a="1"/>
  <c r="I38" i="7" s="1"/>
  <c r="F38" i="7"/>
  <c r="C40" i="7" a="1"/>
  <c r="C40" i="7" s="1"/>
  <c r="G39" i="7" a="1"/>
  <c r="G39" i="7" s="1"/>
  <c r="H39" i="7"/>
  <c r="E39" i="7" a="1"/>
  <c r="E39" i="7" s="1"/>
  <c r="J39" i="7" a="1"/>
  <c r="J39" i="7" s="1"/>
  <c r="R36" i="7"/>
  <c r="T37" i="7" l="1"/>
  <c r="Q37" i="7"/>
  <c r="C41" i="7" a="1"/>
  <c r="C41" i="7" s="1"/>
  <c r="G40" i="7" a="1"/>
  <c r="G40" i="7" s="1"/>
  <c r="J40" i="7" a="1"/>
  <c r="J40" i="7" s="1"/>
  <c r="H40" i="7"/>
  <c r="E40" i="7" a="1"/>
  <c r="E40" i="7" s="1"/>
  <c r="O37" i="7"/>
  <c r="N38" i="7" a="1"/>
  <c r="N38" i="7" s="1"/>
  <c r="M38" i="7" a="1"/>
  <c r="M38" i="7" s="1"/>
  <c r="V37" i="7"/>
  <c r="D39" i="7"/>
  <c r="I39" i="7" s="1" a="1"/>
  <c r="I39" i="7" s="1"/>
  <c r="K39" i="7" s="1" a="1"/>
  <c r="K39" i="7" s="1"/>
  <c r="F39" i="7"/>
  <c r="L39" i="7" a="1"/>
  <c r="L39" i="7" s="1"/>
  <c r="R37" i="7"/>
  <c r="Q38" i="7" l="1"/>
  <c r="O38" i="7"/>
  <c r="T38" i="7"/>
  <c r="V38" i="7"/>
  <c r="C42" i="7" a="1"/>
  <c r="C42" i="7" s="1"/>
  <c r="E41" i="7" a="1"/>
  <c r="E41" i="7" s="1"/>
  <c r="H41" i="7"/>
  <c r="J41" i="7" a="1"/>
  <c r="J41" i="7" s="1"/>
  <c r="G41" i="7" a="1"/>
  <c r="G41" i="7" s="1"/>
  <c r="N39" i="7" a="1"/>
  <c r="N39" i="7" s="1"/>
  <c r="M39" i="7" a="1"/>
  <c r="M39" i="7" s="1"/>
  <c r="L40" i="7" a="1"/>
  <c r="L40" i="7" s="1"/>
  <c r="F40" i="7"/>
  <c r="D40" i="7"/>
  <c r="I40" i="7" s="1" a="1"/>
  <c r="I40" i="7" s="1"/>
  <c r="K40" i="7" s="1" a="1"/>
  <c r="K40" i="7" s="1"/>
  <c r="R38" i="7"/>
  <c r="Q39" i="7" l="1"/>
  <c r="T39" i="7"/>
  <c r="O39" i="7"/>
  <c r="V39" i="7"/>
  <c r="Y41" i="7"/>
  <c r="AD41" i="7"/>
  <c r="AC41" i="7" a="1"/>
  <c r="AC41" i="7" s="1"/>
  <c r="AA41" i="7"/>
  <c r="Z41" i="7"/>
  <c r="AB41" i="7" a="1"/>
  <c r="AB41" i="7" s="1"/>
  <c r="K41" i="7" a="1"/>
  <c r="K41" i="7" s="1"/>
  <c r="D41" i="7"/>
  <c r="I41" i="7" s="1" a="1"/>
  <c r="I41" i="7" s="1"/>
  <c r="F41" i="7"/>
  <c r="L41" i="7" a="1"/>
  <c r="L41" i="7" s="1"/>
  <c r="J42" i="7" a="1"/>
  <c r="J42" i="7" s="1"/>
  <c r="C43" i="7" a="1"/>
  <c r="C43" i="7" s="1"/>
  <c r="H42" i="7"/>
  <c r="E42" i="7" a="1"/>
  <c r="E42" i="7" s="1"/>
  <c r="G42" i="7" a="1"/>
  <c r="G42" i="7" s="1"/>
  <c r="P40" i="7"/>
  <c r="O40" i="7"/>
  <c r="T40" i="7"/>
  <c r="N40" i="7" a="1"/>
  <c r="N40" i="7" s="1"/>
  <c r="R40" i="7"/>
  <c r="U40" i="7"/>
  <c r="Q40" i="7"/>
  <c r="M40" i="7" a="1"/>
  <c r="M40" i="7" s="1"/>
  <c r="V40" i="7"/>
  <c r="W40" i="7"/>
  <c r="S40" i="7"/>
  <c r="X40" i="7"/>
  <c r="R39" i="7"/>
  <c r="L42" i="7" l="1" a="1"/>
  <c r="L42" i="7" s="1"/>
  <c r="F42" i="7"/>
  <c r="K42" i="7" a="1"/>
  <c r="K42" i="7" s="1"/>
  <c r="D42" i="7"/>
  <c r="I42" i="7" s="1" a="1"/>
  <c r="I42" i="7" s="1"/>
  <c r="AC42" i="7" a="1"/>
  <c r="AC42" i="7" s="1"/>
  <c r="Y42" i="7"/>
  <c r="AB42" i="7" a="1"/>
  <c r="AB42" i="7" s="1"/>
  <c r="AA42" i="7"/>
  <c r="AD42" i="7"/>
  <c r="Z42" i="7"/>
  <c r="S41" i="7"/>
  <c r="R41" i="7"/>
  <c r="M41" i="7" a="1"/>
  <c r="M41" i="7" s="1"/>
  <c r="W41" i="7"/>
  <c r="X41" i="7"/>
  <c r="T41" i="7"/>
  <c r="N41" i="7" a="1"/>
  <c r="N41" i="7" s="1"/>
  <c r="Q41" i="7"/>
  <c r="V41" i="7"/>
  <c r="P41" i="7"/>
  <c r="O41" i="7"/>
  <c r="U41" i="7"/>
  <c r="J43" i="7" a="1"/>
  <c r="J43" i="7" s="1"/>
  <c r="E43" i="7" a="1"/>
  <c r="E43" i="7" s="1"/>
  <c r="C44" i="7" a="1"/>
  <c r="C44" i="7" s="1"/>
  <c r="G43" i="7" a="1"/>
  <c r="G43" i="7" s="1"/>
  <c r="H43" i="7"/>
  <c r="H44" i="7" l="1"/>
  <c r="C45" i="7" a="1"/>
  <c r="C45" i="7" s="1"/>
  <c r="J44" i="7" a="1"/>
  <c r="J44" i="7" s="1"/>
  <c r="G44" i="7" a="1"/>
  <c r="G44" i="7" s="1"/>
  <c r="E44" i="7" a="1"/>
  <c r="E44" i="7" s="1"/>
  <c r="U42" i="7"/>
  <c r="N42" i="7" a="1"/>
  <c r="N42" i="7" s="1"/>
  <c r="O42" i="7"/>
  <c r="X42" i="7"/>
  <c r="R42" i="7"/>
  <c r="W42" i="7"/>
  <c r="P42" i="7"/>
  <c r="T42" i="7"/>
  <c r="S42" i="7"/>
  <c r="Q42" i="7"/>
  <c r="M42" i="7" a="1"/>
  <c r="M42" i="7" s="1"/>
  <c r="V42" i="7"/>
  <c r="Y43" i="7"/>
  <c r="AD43" i="7"/>
  <c r="AC43" i="7" a="1"/>
  <c r="AC43" i="7" s="1"/>
  <c r="AB43" i="7" a="1"/>
  <c r="AB43" i="7" s="1"/>
  <c r="AA43" i="7"/>
  <c r="Z43" i="7"/>
  <c r="L43" i="7" a="1"/>
  <c r="L43" i="7" s="1"/>
  <c r="D43" i="7"/>
  <c r="I43" i="7" s="1" a="1"/>
  <c r="I43" i="7" s="1"/>
  <c r="K43" i="7" a="1"/>
  <c r="K43" i="7" s="1"/>
  <c r="F43" i="7"/>
  <c r="D44" i="7" l="1"/>
  <c r="I44" i="7" s="1" a="1"/>
  <c r="I44" i="7" s="1"/>
  <c r="F44" i="7"/>
  <c r="L44" i="7" a="1"/>
  <c r="L44" i="7" s="1"/>
  <c r="K44" i="7" a="1"/>
  <c r="K44" i="7" s="1"/>
  <c r="X43" i="7"/>
  <c r="Q43" i="7"/>
  <c r="V43" i="7"/>
  <c r="U43" i="7"/>
  <c r="T43" i="7"/>
  <c r="N43" i="7" a="1"/>
  <c r="N43" i="7" s="1"/>
  <c r="S43" i="7"/>
  <c r="R43" i="7"/>
  <c r="P43" i="7"/>
  <c r="O43" i="7"/>
  <c r="M43" i="7" a="1"/>
  <c r="M43" i="7" s="1"/>
  <c r="W43" i="7"/>
  <c r="H45" i="7"/>
  <c r="G45" i="7" a="1"/>
  <c r="G45" i="7" s="1"/>
  <c r="J45" i="7" a="1"/>
  <c r="J45" i="7" s="1"/>
  <c r="C46" i="7" a="1"/>
  <c r="C46" i="7" s="1"/>
  <c r="E45" i="7" a="1"/>
  <c r="E45" i="7" s="1"/>
  <c r="AD44" i="7"/>
  <c r="AB44" i="7" a="1"/>
  <c r="AB44" i="7" s="1"/>
  <c r="AC44" i="7" a="1"/>
  <c r="AC44" i="7" s="1"/>
  <c r="AA44" i="7"/>
  <c r="Z44" i="7"/>
  <c r="Y44" i="7"/>
  <c r="Z45" i="7" l="1"/>
  <c r="AC45" i="7" a="1"/>
  <c r="AC45" i="7" s="1"/>
  <c r="Y45" i="7"/>
  <c r="AD45" i="7"/>
  <c r="AA45" i="7"/>
  <c r="AB45" i="7" a="1"/>
  <c r="AB45" i="7" s="1"/>
  <c r="O44" i="7"/>
  <c r="U44" i="7"/>
  <c r="X44" i="7"/>
  <c r="T44" i="7"/>
  <c r="S44" i="7"/>
  <c r="M44" i="7" a="1"/>
  <c r="M44" i="7" s="1"/>
  <c r="N44" i="7" a="1"/>
  <c r="N44" i="7" s="1"/>
  <c r="R44" i="7"/>
  <c r="Q44" i="7"/>
  <c r="W44" i="7"/>
  <c r="V44" i="7"/>
  <c r="P44" i="7"/>
  <c r="L45" i="7" a="1"/>
  <c r="L45" i="7" s="1"/>
  <c r="F45" i="7"/>
  <c r="K45" i="7" a="1"/>
  <c r="K45" i="7" s="1"/>
  <c r="G46" i="7" a="1"/>
  <c r="G46" i="7" s="1"/>
  <c r="E46" i="7" a="1"/>
  <c r="E46" i="7" s="1"/>
  <c r="H46" i="7"/>
  <c r="J46" i="7" a="1"/>
  <c r="J46" i="7" s="1"/>
  <c r="C47" i="7" a="1"/>
  <c r="C47" i="7" s="1"/>
  <c r="L46" i="7" l="1" a="1"/>
  <c r="L46" i="7" s="1"/>
  <c r="K46" i="7" a="1"/>
  <c r="K46" i="7" s="1"/>
  <c r="D46" i="7"/>
  <c r="I46" i="7" s="1" a="1"/>
  <c r="I46" i="7" s="1"/>
  <c r="F46" i="7"/>
  <c r="S45" i="7"/>
  <c r="R45" i="7"/>
  <c r="Q45" i="7"/>
  <c r="V45" i="7"/>
  <c r="P45" i="7"/>
  <c r="O45" i="7"/>
  <c r="U45" i="7"/>
  <c r="X45" i="7"/>
  <c r="T45" i="7"/>
  <c r="N45" i="7" a="1"/>
  <c r="N45" i="7" s="1"/>
  <c r="W45" i="7"/>
  <c r="M45" i="7" a="1"/>
  <c r="M45" i="7" s="1"/>
  <c r="AB46" i="7" a="1"/>
  <c r="AB46" i="7" s="1"/>
  <c r="AC46" i="7" a="1"/>
  <c r="AC46" i="7" s="1"/>
  <c r="Z46" i="7"/>
  <c r="AD46" i="7"/>
  <c r="Y46" i="7"/>
  <c r="AA46" i="7"/>
  <c r="C48" i="7" a="1"/>
  <c r="C48" i="7" s="1"/>
  <c r="G47" i="7" a="1"/>
  <c r="G47" i="7" s="1"/>
  <c r="H47" i="7"/>
  <c r="J47" i="7" a="1"/>
  <c r="J47" i="7" s="1"/>
  <c r="E47" i="7" a="1"/>
  <c r="E47" i="7" s="1"/>
  <c r="AB47" i="7" l="1" a="1"/>
  <c r="AB47" i="7" s="1"/>
  <c r="AC47" i="7" a="1"/>
  <c r="AC47" i="7" s="1"/>
  <c r="AA47" i="7"/>
  <c r="Z47" i="7"/>
  <c r="Y47" i="7"/>
  <c r="AD47" i="7"/>
  <c r="U46" i="7"/>
  <c r="X46" i="7"/>
  <c r="T46" i="7"/>
  <c r="N46" i="7" a="1"/>
  <c r="N46" i="7" s="1"/>
  <c r="S46" i="7"/>
  <c r="R46" i="7"/>
  <c r="W46" i="7"/>
  <c r="M46" i="7" a="1"/>
  <c r="M46" i="7" s="1"/>
  <c r="V46" i="7"/>
  <c r="P46" i="7"/>
  <c r="Q46" i="7"/>
  <c r="O46" i="7"/>
  <c r="L47" i="7" a="1"/>
  <c r="L47" i="7" s="1"/>
  <c r="K47" i="7" a="1"/>
  <c r="K47" i="7" s="1"/>
  <c r="D47" i="7"/>
  <c r="I47" i="7" s="1" a="1"/>
  <c r="I47" i="7" s="1"/>
  <c r="F47" i="7"/>
  <c r="E48" i="7" a="1"/>
  <c r="E48" i="7" s="1"/>
  <c r="H48" i="7"/>
  <c r="J48" i="7" a="1"/>
  <c r="J48" i="7" s="1"/>
  <c r="C49" i="7" a="1"/>
  <c r="C49" i="7" s="1"/>
  <c r="G48" i="7" a="1"/>
  <c r="G48" i="7" s="1"/>
  <c r="J49" i="7" l="1" a="1"/>
  <c r="J49" i="7" s="1"/>
  <c r="C50" i="7" a="1"/>
  <c r="C50" i="7" s="1"/>
  <c r="G49" i="7" a="1"/>
  <c r="G49" i="7" s="1"/>
  <c r="H49" i="7"/>
  <c r="E49" i="7" a="1"/>
  <c r="E49" i="7" s="1"/>
  <c r="AB48" i="7" a="1"/>
  <c r="AB48" i="7" s="1"/>
  <c r="AD48" i="7"/>
  <c r="AC48" i="7" a="1"/>
  <c r="AC48" i="7" s="1"/>
  <c r="AA48" i="7"/>
  <c r="Z48" i="7"/>
  <c r="Y48" i="7"/>
  <c r="Q47" i="7"/>
  <c r="W47" i="7"/>
  <c r="V47" i="7"/>
  <c r="M47" i="7" a="1"/>
  <c r="M47" i="7" s="1"/>
  <c r="P47" i="7"/>
  <c r="O47" i="7"/>
  <c r="U47" i="7"/>
  <c r="X47" i="7"/>
  <c r="T47" i="7"/>
  <c r="N47" i="7" a="1"/>
  <c r="N47" i="7" s="1"/>
  <c r="S47" i="7"/>
  <c r="R47" i="7"/>
  <c r="F48" i="7"/>
  <c r="D48" i="7"/>
  <c r="I48" i="7" s="1" a="1"/>
  <c r="I48" i="7" s="1"/>
  <c r="L48" i="7" a="1"/>
  <c r="L48" i="7" s="1"/>
  <c r="K48" i="7" a="1"/>
  <c r="K48" i="7" s="1"/>
  <c r="L49" i="7" l="1" a="1"/>
  <c r="L49" i="7" s="1"/>
  <c r="K49" i="7" a="1"/>
  <c r="K49" i="7" s="1"/>
  <c r="F49" i="7"/>
  <c r="AA49" i="7"/>
  <c r="Z49" i="7"/>
  <c r="Y49" i="7"/>
  <c r="AC49" i="7" a="1"/>
  <c r="AC49" i="7" s="1"/>
  <c r="AB49" i="7" a="1"/>
  <c r="AB49" i="7" s="1"/>
  <c r="AD49" i="7"/>
  <c r="O48" i="7"/>
  <c r="U48" i="7"/>
  <c r="X48" i="7"/>
  <c r="T48" i="7"/>
  <c r="S48" i="7"/>
  <c r="P48" i="7"/>
  <c r="N48" i="7" a="1"/>
  <c r="N48" i="7" s="1"/>
  <c r="Q48" i="7"/>
  <c r="W48" i="7"/>
  <c r="M48" i="7" a="1"/>
  <c r="M48" i="7" s="1"/>
  <c r="V48" i="7"/>
  <c r="R48" i="7"/>
  <c r="J50" i="7" a="1"/>
  <c r="J50" i="7" s="1"/>
  <c r="C51" i="7" a="1"/>
  <c r="C51" i="7" s="1"/>
  <c r="G50" i="7" a="1"/>
  <c r="G50" i="7" s="1"/>
  <c r="E50" i="7" a="1"/>
  <c r="E50" i="7" s="1"/>
  <c r="H50" i="7"/>
  <c r="D50" i="7" l="1"/>
  <c r="I50" i="7" s="1" a="1"/>
  <c r="I50" i="7" s="1"/>
  <c r="K50" i="7" a="1"/>
  <c r="K50" i="7" s="1"/>
  <c r="L50" i="7" a="1"/>
  <c r="L50" i="7" s="1"/>
  <c r="F50" i="7"/>
  <c r="Y50" i="7"/>
  <c r="AD50" i="7"/>
  <c r="AB50" i="7" a="1"/>
  <c r="AB50" i="7" s="1"/>
  <c r="AC50" i="7" a="1"/>
  <c r="AC50" i="7" s="1"/>
  <c r="AA50" i="7"/>
  <c r="Z50" i="7"/>
  <c r="E51" i="7" a="1"/>
  <c r="E51" i="7" s="1"/>
  <c r="G51" i="7" a="1"/>
  <c r="G51" i="7" s="1"/>
  <c r="H51" i="7"/>
  <c r="J51" i="7" a="1"/>
  <c r="J51" i="7" s="1"/>
  <c r="C52" i="7" a="1"/>
  <c r="C52" i="7" s="1"/>
  <c r="X49" i="7"/>
  <c r="T49" i="7"/>
  <c r="N49" i="7" a="1"/>
  <c r="N49" i="7" s="1"/>
  <c r="R49" i="7"/>
  <c r="V49" i="7"/>
  <c r="P49" i="7"/>
  <c r="O49" i="7"/>
  <c r="U49" i="7"/>
  <c r="S49" i="7"/>
  <c r="M49" i="7" a="1"/>
  <c r="M49" i="7" s="1"/>
  <c r="Q49" i="7"/>
  <c r="W49" i="7"/>
  <c r="D51" i="7" l="1"/>
  <c r="I51" i="7" s="1" a="1"/>
  <c r="I51" i="7" s="1"/>
  <c r="F51" i="7"/>
  <c r="L51" i="7" a="1"/>
  <c r="L51" i="7" s="1"/>
  <c r="K51" i="7" a="1"/>
  <c r="K51" i="7" s="1"/>
  <c r="Y51" i="7"/>
  <c r="AD51" i="7"/>
  <c r="AB51" i="7" a="1"/>
  <c r="AB51" i="7" s="1"/>
  <c r="AC51" i="7" a="1"/>
  <c r="AC51" i="7" s="1"/>
  <c r="AA51" i="7"/>
  <c r="Z51" i="7"/>
  <c r="O50" i="7"/>
  <c r="U50" i="7"/>
  <c r="X50" i="7"/>
  <c r="T50" i="7"/>
  <c r="S50" i="7"/>
  <c r="V50" i="7"/>
  <c r="P50" i="7"/>
  <c r="N50" i="7" a="1"/>
  <c r="N50" i="7" s="1"/>
  <c r="R50" i="7"/>
  <c r="M50" i="7" a="1"/>
  <c r="M50" i="7" s="1"/>
  <c r="Q50" i="7"/>
  <c r="W50" i="7"/>
  <c r="J52" i="7" a="1"/>
  <c r="J52" i="7" s="1"/>
  <c r="H52" i="7"/>
  <c r="C53" i="7" a="1"/>
  <c r="C53" i="7" s="1"/>
  <c r="E52" i="7" a="1"/>
  <c r="E52" i="7" s="1"/>
  <c r="G52" i="7" a="1"/>
  <c r="G52" i="7" s="1"/>
  <c r="J53" i="7" l="1" a="1"/>
  <c r="J53" i="7" s="1"/>
  <c r="H53" i="7"/>
  <c r="C54" i="7" a="1"/>
  <c r="C54" i="7" s="1"/>
  <c r="E53" i="7" a="1"/>
  <c r="E53" i="7" s="1"/>
  <c r="G53" i="7" a="1"/>
  <c r="G53" i="7" s="1"/>
  <c r="Z52" i="7"/>
  <c r="Y52" i="7"/>
  <c r="AD52" i="7"/>
  <c r="AB52" i="7" a="1"/>
  <c r="AB52" i="7" s="1"/>
  <c r="AC52" i="7" a="1"/>
  <c r="AC52" i="7" s="1"/>
  <c r="AA52" i="7"/>
  <c r="N51" i="7" a="1"/>
  <c r="N51" i="7" s="1"/>
  <c r="W51" i="7"/>
  <c r="Q51" i="7"/>
  <c r="R51" i="7"/>
  <c r="M51" i="7" a="1"/>
  <c r="M51" i="7" s="1"/>
  <c r="V51" i="7"/>
  <c r="P51" i="7"/>
  <c r="O51" i="7"/>
  <c r="U51" i="7"/>
  <c r="X51" i="7"/>
  <c r="S51" i="7"/>
  <c r="T51" i="7"/>
  <c r="D52" i="7"/>
  <c r="I52" i="7" s="1" a="1"/>
  <c r="I52" i="7" s="1"/>
  <c r="L52" i="7" a="1"/>
  <c r="L52" i="7" s="1"/>
  <c r="F52" i="7"/>
  <c r="K52" i="7" a="1"/>
  <c r="K52" i="7" s="1"/>
  <c r="C55" i="7" l="1" a="1"/>
  <c r="C55" i="7" s="1"/>
  <c r="H54" i="7"/>
  <c r="G54" i="7" a="1"/>
  <c r="G54" i="7" s="1"/>
  <c r="E54" i="7" a="1"/>
  <c r="E54" i="7" s="1"/>
  <c r="J54" i="7" a="1"/>
  <c r="J54" i="7" s="1"/>
  <c r="Y53" i="7"/>
  <c r="AB53" i="7" a="1"/>
  <c r="AB53" i="7" s="1"/>
  <c r="Z53" i="7"/>
  <c r="AD53" i="7"/>
  <c r="AA53" i="7"/>
  <c r="AC53" i="7" a="1"/>
  <c r="AC53" i="7" s="1"/>
  <c r="N52" i="7" a="1"/>
  <c r="N52" i="7" s="1"/>
  <c r="S52" i="7"/>
  <c r="R52" i="7"/>
  <c r="Q52" i="7"/>
  <c r="W52" i="7"/>
  <c r="M52" i="7" a="1"/>
  <c r="M52" i="7" s="1"/>
  <c r="V52" i="7"/>
  <c r="P52" i="7"/>
  <c r="O52" i="7"/>
  <c r="U52" i="7"/>
  <c r="X52" i="7"/>
  <c r="T52" i="7"/>
  <c r="L53" i="7" a="1"/>
  <c r="L53" i="7" s="1"/>
  <c r="K53" i="7" a="1"/>
  <c r="K53" i="7" s="1"/>
  <c r="F53" i="7"/>
  <c r="D53" i="7"/>
  <c r="I53" i="7" s="1" a="1"/>
  <c r="I53" i="7" s="1"/>
  <c r="P53" i="7" l="1"/>
  <c r="O53" i="7"/>
  <c r="U53" i="7"/>
  <c r="X53" i="7"/>
  <c r="N53" i="7" a="1"/>
  <c r="N53" i="7" s="1"/>
  <c r="S53" i="7"/>
  <c r="R53" i="7"/>
  <c r="Q53" i="7"/>
  <c r="W53" i="7"/>
  <c r="M53" i="7" a="1"/>
  <c r="M53" i="7" s="1"/>
  <c r="V53" i="7"/>
  <c r="T53" i="7"/>
  <c r="F54" i="7"/>
  <c r="L54" i="7" a="1"/>
  <c r="L54" i="7" s="1"/>
  <c r="K54" i="7" a="1"/>
  <c r="K54" i="7" s="1"/>
  <c r="D54" i="7"/>
  <c r="I54" i="7" s="1" a="1"/>
  <c r="I54" i="7" s="1"/>
  <c r="AA54" i="7"/>
  <c r="Z54" i="7"/>
  <c r="Y54" i="7"/>
  <c r="AD54" i="7"/>
  <c r="AB54" i="7" a="1"/>
  <c r="AB54" i="7" s="1"/>
  <c r="AC54" i="7" a="1"/>
  <c r="AC54" i="7" s="1"/>
  <c r="C56" i="7" a="1"/>
  <c r="C56" i="7" s="1"/>
  <c r="E55" i="7" a="1"/>
  <c r="E55" i="7" s="1"/>
  <c r="G55" i="7" a="1"/>
  <c r="G55" i="7" s="1"/>
  <c r="H55" i="7"/>
  <c r="J55" i="7" a="1"/>
  <c r="J55" i="7" s="1"/>
  <c r="J56" i="7" l="1" a="1"/>
  <c r="J56" i="7" s="1"/>
  <c r="C57" i="7" a="1"/>
  <c r="C57" i="7" s="1"/>
  <c r="E56" i="7" a="1"/>
  <c r="E56" i="7" s="1"/>
  <c r="H56" i="7"/>
  <c r="G56" i="7" a="1"/>
  <c r="G56" i="7" s="1"/>
  <c r="V54" i="7"/>
  <c r="P54" i="7"/>
  <c r="T54" i="7"/>
  <c r="X54" i="7"/>
  <c r="U54" i="7"/>
  <c r="M54" i="7" a="1"/>
  <c r="M54" i="7" s="1"/>
  <c r="O54" i="7"/>
  <c r="N54" i="7" a="1"/>
  <c r="N54" i="7" s="1"/>
  <c r="S54" i="7"/>
  <c r="W54" i="7"/>
  <c r="Q54" i="7"/>
  <c r="R54" i="7"/>
  <c r="F55" i="7"/>
  <c r="L55" i="7" a="1"/>
  <c r="L55" i="7" s="1"/>
  <c r="K55" i="7" a="1"/>
  <c r="K55" i="7" s="1"/>
  <c r="D55" i="7"/>
  <c r="I55" i="7" s="1" a="1"/>
  <c r="I55" i="7" s="1"/>
  <c r="AC55" i="7" a="1"/>
  <c r="AC55" i="7" s="1"/>
  <c r="AA55" i="7"/>
  <c r="AB55" i="7" a="1"/>
  <c r="AB55" i="7" s="1"/>
  <c r="Z55" i="7"/>
  <c r="AD55" i="7"/>
  <c r="Y55" i="7"/>
  <c r="L56" i="7" l="1" a="1"/>
  <c r="L56" i="7" s="1"/>
  <c r="K56" i="7" a="1"/>
  <c r="K56" i="7" s="1"/>
  <c r="D56" i="7"/>
  <c r="I56" i="7" s="1" a="1"/>
  <c r="I56" i="7" s="1"/>
  <c r="F56" i="7"/>
  <c r="J57" i="7" a="1"/>
  <c r="J57" i="7" s="1"/>
  <c r="C58" i="7" a="1"/>
  <c r="C58" i="7" s="1"/>
  <c r="E57" i="7" a="1"/>
  <c r="E57" i="7" s="1"/>
  <c r="G57" i="7" a="1"/>
  <c r="G57" i="7" s="1"/>
  <c r="H57" i="7"/>
  <c r="Y56" i="7"/>
  <c r="AD56" i="7"/>
  <c r="AB56" i="7" a="1"/>
  <c r="AB56" i="7" s="1"/>
  <c r="AC56" i="7" a="1"/>
  <c r="AC56" i="7" s="1"/>
  <c r="AA56" i="7"/>
  <c r="Z56" i="7"/>
  <c r="V55" i="7"/>
  <c r="P55" i="7"/>
  <c r="O55" i="7"/>
  <c r="U55" i="7"/>
  <c r="W55" i="7"/>
  <c r="M55" i="7" a="1"/>
  <c r="M55" i="7" s="1"/>
  <c r="T55" i="7"/>
  <c r="N55" i="7" a="1"/>
  <c r="N55" i="7" s="1"/>
  <c r="S55" i="7"/>
  <c r="Q55" i="7"/>
  <c r="X55" i="7"/>
  <c r="R55" i="7"/>
  <c r="AA57" i="7" l="1"/>
  <c r="Z57" i="7"/>
  <c r="AD57" i="7"/>
  <c r="Y57" i="7"/>
  <c r="AB57" i="7" a="1"/>
  <c r="AB57" i="7" s="1"/>
  <c r="AC57" i="7" a="1"/>
  <c r="AC57" i="7" s="1"/>
  <c r="J58" i="7" a="1"/>
  <c r="J58" i="7" s="1"/>
  <c r="E58" i="7" a="1"/>
  <c r="E58" i="7" s="1"/>
  <c r="C59" i="7" a="1"/>
  <c r="C59" i="7" s="1"/>
  <c r="G58" i="7" a="1"/>
  <c r="G58" i="7" s="1"/>
  <c r="H58" i="7"/>
  <c r="D57" i="7"/>
  <c r="I57" i="7" s="1" a="1"/>
  <c r="I57" i="7" s="1"/>
  <c r="F57" i="7"/>
  <c r="L57" i="7" a="1"/>
  <c r="L57" i="7" s="1"/>
  <c r="K57" i="7" a="1"/>
  <c r="K57" i="7" s="1"/>
  <c r="T56" i="7"/>
  <c r="X56" i="7"/>
  <c r="U56" i="7"/>
  <c r="R56" i="7"/>
  <c r="Q56" i="7"/>
  <c r="W56" i="7"/>
  <c r="M56" i="7" a="1"/>
  <c r="M56" i="7" s="1"/>
  <c r="V56" i="7"/>
  <c r="P56" i="7"/>
  <c r="O56" i="7"/>
  <c r="S56" i="7"/>
  <c r="N56" i="7" a="1"/>
  <c r="N56" i="7" s="1"/>
  <c r="E59" i="7" l="1" a="1"/>
  <c r="E59" i="7" s="1"/>
  <c r="H59" i="7"/>
  <c r="J59" i="7" a="1"/>
  <c r="J59" i="7" s="1"/>
  <c r="C60" i="7" a="1"/>
  <c r="C60" i="7" s="1"/>
  <c r="G59" i="7" a="1"/>
  <c r="G59" i="7" s="1"/>
  <c r="W57" i="7"/>
  <c r="M57" i="7" a="1"/>
  <c r="M57" i="7" s="1"/>
  <c r="V57" i="7"/>
  <c r="U57" i="7"/>
  <c r="X57" i="7"/>
  <c r="O57" i="7"/>
  <c r="T57" i="7"/>
  <c r="N57" i="7" a="1"/>
  <c r="N57" i="7" s="1"/>
  <c r="S57" i="7"/>
  <c r="P57" i="7"/>
  <c r="R57" i="7"/>
  <c r="Q57" i="7"/>
  <c r="Y58" i="7"/>
  <c r="AD58" i="7"/>
  <c r="AB58" i="7" a="1"/>
  <c r="AB58" i="7" s="1"/>
  <c r="AC58" i="7" a="1"/>
  <c r="AC58" i="7" s="1"/>
  <c r="AA58" i="7"/>
  <c r="Z58" i="7"/>
  <c r="D58" i="7"/>
  <c r="I58" i="7" s="1" a="1"/>
  <c r="I58" i="7" s="1"/>
  <c r="L58" i="7" a="1"/>
  <c r="L58" i="7" s="1"/>
  <c r="K58" i="7" a="1"/>
  <c r="K58" i="7" s="1"/>
  <c r="F58" i="7"/>
  <c r="AA59" i="7" l="1"/>
  <c r="Z59" i="7"/>
  <c r="Y59" i="7"/>
  <c r="AD59" i="7"/>
  <c r="AB59" i="7" a="1"/>
  <c r="AB59" i="7" s="1"/>
  <c r="AC59" i="7" a="1"/>
  <c r="AC59" i="7" s="1"/>
  <c r="S58" i="7"/>
  <c r="R58" i="7"/>
  <c r="Q58" i="7"/>
  <c r="M58" i="7" a="1"/>
  <c r="M58" i="7" s="1"/>
  <c r="W58" i="7"/>
  <c r="V58" i="7"/>
  <c r="P58" i="7"/>
  <c r="O58" i="7"/>
  <c r="U58" i="7"/>
  <c r="N58" i="7" a="1"/>
  <c r="N58" i="7" s="1"/>
  <c r="X58" i="7"/>
  <c r="T58" i="7"/>
  <c r="J60" i="7" a="1"/>
  <c r="J60" i="7" s="1"/>
  <c r="C61" i="7" a="1"/>
  <c r="C61" i="7" s="1"/>
  <c r="G60" i="7" a="1"/>
  <c r="G60" i="7" s="1"/>
  <c r="E60" i="7" a="1"/>
  <c r="E60" i="7" s="1"/>
  <c r="H60" i="7"/>
  <c r="K59" i="7" a="1"/>
  <c r="K59" i="7" s="1"/>
  <c r="D59" i="7"/>
  <c r="I59" i="7" s="1" a="1"/>
  <c r="I59" i="7" s="1"/>
  <c r="L59" i="7" a="1"/>
  <c r="L59" i="7" s="1"/>
  <c r="F59" i="7"/>
  <c r="AD60" i="7" l="1"/>
  <c r="Y60" i="7"/>
  <c r="AB60" i="7" a="1"/>
  <c r="AB60" i="7" s="1"/>
  <c r="AC60" i="7" a="1"/>
  <c r="AC60" i="7" s="1"/>
  <c r="AA60" i="7"/>
  <c r="Z60" i="7"/>
  <c r="D60" i="7"/>
  <c r="I60" i="7" s="1" a="1"/>
  <c r="I60" i="7" s="1"/>
  <c r="K60" i="7" a="1"/>
  <c r="K60" i="7" s="1"/>
  <c r="F60" i="7"/>
  <c r="L60" i="7" a="1"/>
  <c r="L60" i="7" s="1"/>
  <c r="R59" i="7"/>
  <c r="Q59" i="7"/>
  <c r="W59" i="7"/>
  <c r="M59" i="7" a="1"/>
  <c r="M59" i="7" s="1"/>
  <c r="T59" i="7"/>
  <c r="N59" i="7" a="1"/>
  <c r="N59" i="7" s="1"/>
  <c r="S59" i="7"/>
  <c r="V59" i="7"/>
  <c r="P59" i="7"/>
  <c r="X59" i="7"/>
  <c r="U59" i="7"/>
  <c r="O59" i="7"/>
  <c r="J61" i="7" a="1"/>
  <c r="J61" i="7" s="1"/>
  <c r="C62" i="7" a="1"/>
  <c r="C62" i="7" s="1"/>
  <c r="G61" i="7" a="1"/>
  <c r="G61" i="7" s="1"/>
  <c r="E61" i="7" a="1"/>
  <c r="E61" i="7" s="1"/>
  <c r="H61" i="7"/>
  <c r="D61" i="7" l="1"/>
  <c r="I61" i="7" s="1" a="1"/>
  <c r="I61" i="7" s="1"/>
  <c r="K61" i="7" a="1"/>
  <c r="K61" i="7" s="1"/>
  <c r="F61" i="7"/>
  <c r="L61" i="7" a="1"/>
  <c r="L61" i="7" s="1"/>
  <c r="S60" i="7"/>
  <c r="R60" i="7"/>
  <c r="Q60" i="7"/>
  <c r="W60" i="7"/>
  <c r="P60" i="7"/>
  <c r="O60" i="7"/>
  <c r="T60" i="7"/>
  <c r="U60" i="7"/>
  <c r="X60" i="7"/>
  <c r="N60" i="7" a="1"/>
  <c r="N60" i="7" s="1"/>
  <c r="V60" i="7"/>
  <c r="M60" i="7" a="1"/>
  <c r="M60" i="7" s="1"/>
  <c r="AA61" i="7"/>
  <c r="AB61" i="7" a="1"/>
  <c r="AB61" i="7" s="1"/>
  <c r="Z61" i="7"/>
  <c r="AC61" i="7" a="1"/>
  <c r="AC61" i="7" s="1"/>
  <c r="Y61" i="7"/>
  <c r="AD61" i="7"/>
  <c r="E62" i="7" a="1"/>
  <c r="E62" i="7" s="1"/>
  <c r="G62" i="7" a="1"/>
  <c r="G62" i="7" s="1"/>
  <c r="H62" i="7"/>
  <c r="J62" i="7" a="1"/>
  <c r="J62" i="7" s="1"/>
  <c r="C63" i="7" a="1"/>
  <c r="C63" i="7" s="1"/>
  <c r="K62" i="7" l="1" a="1"/>
  <c r="K62" i="7" s="1"/>
  <c r="F62" i="7"/>
  <c r="D62" i="7"/>
  <c r="I62" i="7" s="1" a="1"/>
  <c r="I62" i="7" s="1"/>
  <c r="L62" i="7" a="1"/>
  <c r="L62" i="7" s="1"/>
  <c r="V61" i="7"/>
  <c r="P61" i="7"/>
  <c r="U61" i="7"/>
  <c r="X61" i="7"/>
  <c r="T61" i="7"/>
  <c r="S61" i="7"/>
  <c r="N61" i="7" a="1"/>
  <c r="N61" i="7" s="1"/>
  <c r="R61" i="7"/>
  <c r="Q61" i="7"/>
  <c r="W61" i="7"/>
  <c r="O61" i="7"/>
  <c r="M61" i="7" a="1"/>
  <c r="M61" i="7" s="1"/>
  <c r="AC62" i="7" a="1"/>
  <c r="AC62" i="7" s="1"/>
  <c r="AA62" i="7"/>
  <c r="Z62" i="7"/>
  <c r="AD62" i="7"/>
  <c r="Y62" i="7"/>
  <c r="AB62" i="7" a="1"/>
  <c r="AB62" i="7" s="1"/>
  <c r="G63" i="7" a="1"/>
  <c r="G63" i="7" s="1"/>
  <c r="E63" i="7" a="1"/>
  <c r="E63" i="7" s="1"/>
  <c r="J63" i="7" a="1"/>
  <c r="J63" i="7" s="1"/>
  <c r="H63" i="7"/>
  <c r="D63" i="7" l="1"/>
  <c r="I63" i="7" s="1" a="1"/>
  <c r="I63" i="7" s="1"/>
  <c r="F63" i="7"/>
  <c r="K63" i="7" a="1"/>
  <c r="K63" i="7" s="1"/>
  <c r="L63" i="7" a="1"/>
  <c r="L63" i="7" s="1"/>
  <c r="M62" i="7" a="1"/>
  <c r="M62" i="7" s="1"/>
  <c r="O62" i="7"/>
  <c r="U62" i="7"/>
  <c r="T62" i="7"/>
  <c r="S62" i="7"/>
  <c r="V62" i="7"/>
  <c r="P62" i="7"/>
  <c r="N62" i="7" a="1"/>
  <c r="N62" i="7" s="1"/>
  <c r="X62" i="7"/>
  <c r="Q62" i="7"/>
  <c r="R62" i="7"/>
  <c r="W62" i="7"/>
  <c r="AB63" i="7" a="1"/>
  <c r="AB63" i="7" s="1"/>
  <c r="AC63" i="7" a="1"/>
  <c r="AC63" i="7" s="1"/>
  <c r="Z63" i="7"/>
  <c r="AA63" i="7"/>
  <c r="Y63" i="7"/>
  <c r="AD63" i="7"/>
  <c r="M63" i="7" l="1" a="1"/>
  <c r="M63" i="7" s="1"/>
  <c r="O63" i="7"/>
  <c r="U63" i="7"/>
  <c r="T63" i="7"/>
  <c r="N63" i="7" a="1"/>
  <c r="N63" i="7" s="1"/>
  <c r="R63" i="7"/>
  <c r="Q63" i="7"/>
  <c r="W63" i="7"/>
  <c r="V63" i="7"/>
  <c r="S63" i="7"/>
  <c r="X63" i="7"/>
  <c r="P63" i="7"/>
  <c r="K31" i="7" a="1"/>
  <c r="K31" i="7" s="1"/>
  <c r="K29" i="7" a="1"/>
  <c r="K29" i="7" s="1"/>
  <c r="K35" i="7" a="1"/>
  <c r="K35" i="7" s="1"/>
  <c r="I63" i="11" a="1"/>
  <c r="I63" i="11" s="1"/>
  <c r="K16" i="7" a="1"/>
  <c r="K16" i="7" s="1"/>
  <c r="K20" i="7" a="1"/>
  <c r="K20" i="7" s="1"/>
  <c r="K36" i="7" a="1"/>
  <c r="K36" i="7" s="1"/>
  <c r="I85" i="11" a="1"/>
  <c r="I85" i="11" s="1"/>
  <c r="K85" i="11" s="1"/>
  <c r="K21" i="7" a="1"/>
  <c r="K21" i="7" s="1"/>
  <c r="K23" i="7" a="1"/>
  <c r="K23" i="7" s="1"/>
  <c r="I58" i="11" a="1"/>
  <c r="I58" i="11" s="1"/>
  <c r="I104" i="11" a="1"/>
  <c r="I104" i="11" s="1"/>
  <c r="I97" i="11" a="1"/>
  <c r="I97" i="11" s="1"/>
  <c r="I100" i="11" a="1"/>
  <c r="I100" i="11" s="1"/>
  <c r="I109" i="11" a="1"/>
  <c r="I109" i="11" s="1"/>
  <c r="K22" i="7" a="1"/>
  <c r="K22" i="7" s="1"/>
  <c r="I90" i="11" a="1"/>
  <c r="I90" i="11" s="1"/>
  <c r="I64" i="11" a="1"/>
  <c r="I64" i="11" s="1"/>
  <c r="K37" i="7" a="1"/>
  <c r="K37" i="7" s="1"/>
  <c r="I75" i="11" a="1"/>
  <c r="I75" i="11" s="1"/>
  <c r="I59" i="11" a="1"/>
  <c r="I59" i="11" s="1"/>
  <c r="L59" i="11" s="1"/>
  <c r="K27" i="7" a="1"/>
  <c r="K27" i="7" s="1"/>
  <c r="I84" i="11" a="1"/>
  <c r="I84" i="11" s="1"/>
  <c r="I69" i="11" a="1"/>
  <c r="I69" i="11" s="1"/>
  <c r="I54" i="11" a="1"/>
  <c r="I54" i="11" s="1"/>
  <c r="I52" i="11" a="1"/>
  <c r="I52" i="11" s="1"/>
  <c r="I53" i="11" a="1"/>
  <c r="I53" i="11" s="1"/>
  <c r="I67" i="11" a="1"/>
  <c r="I67" i="11" s="1"/>
  <c r="I92" i="11" a="1"/>
  <c r="I92" i="11" s="1"/>
  <c r="I68" i="11" a="1"/>
  <c r="I68" i="11" s="1"/>
  <c r="I57" i="11" a="1"/>
  <c r="I57" i="11" s="1"/>
  <c r="I105" i="11" a="1"/>
  <c r="I105" i="11" s="1"/>
  <c r="I93" i="11" a="1"/>
  <c r="I93" i="11" s="1"/>
  <c r="I88" i="11" a="1"/>
  <c r="I88" i="11" s="1"/>
  <c r="I78" i="11" a="1"/>
  <c r="I78" i="11" s="1"/>
  <c r="I80" i="11" a="1"/>
  <c r="I80" i="11" s="1"/>
  <c r="I98" i="11" a="1"/>
  <c r="I98" i="11" s="1"/>
  <c r="K28" i="7" a="1"/>
  <c r="K28" i="7" s="1"/>
  <c r="I74" i="11" a="1"/>
  <c r="I74" i="11" s="1"/>
  <c r="I83" i="11" a="1"/>
  <c r="I83" i="11" s="1"/>
  <c r="I82" i="11" a="1"/>
  <c r="I82" i="11" s="1"/>
  <c r="K82" i="11" s="1"/>
  <c r="I95" i="11" a="1"/>
  <c r="I95" i="11" s="1"/>
  <c r="I99" i="11" a="1"/>
  <c r="I99" i="11" s="1"/>
  <c r="I70" i="11" a="1"/>
  <c r="I70" i="11" s="1"/>
  <c r="I73" i="11" a="1"/>
  <c r="I73" i="11" s="1"/>
  <c r="I60" i="11" a="1"/>
  <c r="I60" i="11" s="1"/>
  <c r="I110" i="11" a="1"/>
  <c r="I110" i="11" s="1"/>
  <c r="I102" i="11" a="1"/>
  <c r="I102" i="11" s="1"/>
  <c r="I87" i="11" a="1"/>
  <c r="I87" i="11" s="1"/>
  <c r="K30" i="7" a="1"/>
  <c r="K30" i="7" s="1"/>
  <c r="I55" i="11" a="1"/>
  <c r="I55" i="11" s="1"/>
  <c r="I108" i="11" a="1"/>
  <c r="I108" i="11" s="1"/>
  <c r="I94" i="11" a="1"/>
  <c r="I94" i="11" s="1"/>
  <c r="I65" i="11" a="1"/>
  <c r="I65" i="11" s="1"/>
  <c r="I103" i="11" a="1"/>
  <c r="I103" i="11" s="1"/>
  <c r="I107" i="11" a="1"/>
  <c r="I107" i="11" s="1"/>
  <c r="I62" i="11" a="1"/>
  <c r="I62" i="11" s="1"/>
  <c r="I77" i="11" a="1"/>
  <c r="I77" i="11" s="1"/>
  <c r="I89" i="11" a="1"/>
  <c r="I89" i="11" s="1"/>
  <c r="I79" i="11" a="1"/>
  <c r="I79" i="11" s="1"/>
  <c r="I72" i="11" a="1"/>
  <c r="I72" i="11" s="1"/>
  <c r="O72" i="11" s="1"/>
  <c r="K15" i="7" a="1"/>
  <c r="K15" i="7" s="1"/>
  <c r="K14" i="7" a="1"/>
  <c r="K14" i="7" s="1"/>
  <c r="K38" i="7" a="1"/>
  <c r="K38" i="7" s="1"/>
  <c r="D12" i="11"/>
  <c r="D13" i="11" s="1"/>
  <c r="K17" i="7" a="1"/>
  <c r="K17" i="7" s="1"/>
  <c r="K24" i="7" a="1"/>
  <c r="K24" i="7" s="1"/>
  <c r="K32" i="7" a="1"/>
  <c r="K32" i="7" s="1"/>
  <c r="S52" i="11" a="1"/>
  <c r="S52" i="11" s="1"/>
  <c r="P33" i="7"/>
  <c r="P39" i="7"/>
  <c r="P38" i="7"/>
  <c r="P32" i="7"/>
  <c r="P21" i="7"/>
  <c r="P16" i="7"/>
  <c r="P28" i="7"/>
  <c r="P36" i="7"/>
  <c r="P20" i="7"/>
  <c r="P14" i="7"/>
  <c r="P27" i="7"/>
  <c r="P35" i="7"/>
  <c r="P23" i="7"/>
  <c r="P31" i="7"/>
  <c r="P15" i="7"/>
  <c r="P30" i="7"/>
  <c r="P22" i="7"/>
  <c r="P29" i="7"/>
  <c r="P37" i="7"/>
  <c r="S39" i="7" l="1"/>
  <c r="S33" i="7"/>
  <c r="S32" i="7"/>
  <c r="S38" i="7"/>
  <c r="K55" i="11"/>
  <c r="M55" i="11" s="1"/>
  <c r="O55" i="11"/>
  <c r="O68" i="11"/>
  <c r="L68" i="11"/>
  <c r="K68" i="11"/>
  <c r="M68" i="11" s="1"/>
  <c r="L89" i="11"/>
  <c r="K89" i="11"/>
  <c r="M89" i="11" s="1"/>
  <c r="O107" i="11"/>
  <c r="K107" i="11"/>
  <c r="P107" i="11" s="1"/>
  <c r="K98" i="11"/>
  <c r="Q98" i="11" s="1"/>
  <c r="L98" i="11"/>
  <c r="L83" i="11"/>
  <c r="K83" i="11"/>
  <c r="O83" i="11"/>
  <c r="K59" i="11"/>
  <c r="Q59" i="11" s="1"/>
  <c r="L55" i="11"/>
  <c r="O59" i="11"/>
  <c r="K72" i="11"/>
  <c r="Q72" i="11" s="1"/>
  <c r="S22" i="7"/>
  <c r="S35" i="7"/>
  <c r="S29" i="7"/>
  <c r="S31" i="7"/>
  <c r="S27" i="7"/>
  <c r="S30" i="7"/>
  <c r="S23" i="7"/>
  <c r="S21" i="7"/>
  <c r="S28" i="7"/>
  <c r="S37" i="7"/>
  <c r="S36" i="7"/>
  <c r="S14" i="7"/>
  <c r="S20" i="7"/>
  <c r="S15" i="7"/>
  <c r="S16" i="7"/>
  <c r="L65" i="11"/>
  <c r="O65" i="11"/>
  <c r="K65" i="11"/>
  <c r="K63" i="11"/>
  <c r="O63" i="11"/>
  <c r="L63" i="11"/>
  <c r="O93" i="11"/>
  <c r="L93" i="11"/>
  <c r="K93" i="11"/>
  <c r="K54" i="11"/>
  <c r="O54" i="11"/>
  <c r="L54" i="11"/>
  <c r="L105" i="11"/>
  <c r="O105" i="11"/>
  <c r="K105" i="11"/>
  <c r="O57" i="11"/>
  <c r="L57" i="11"/>
  <c r="K57" i="11"/>
  <c r="O84" i="11"/>
  <c r="K84" i="11"/>
  <c r="L84" i="11"/>
  <c r="L100" i="11"/>
  <c r="O100" i="11"/>
  <c r="K100" i="11"/>
  <c r="K97" i="11"/>
  <c r="L97" i="11"/>
  <c r="O97" i="11"/>
  <c r="K87" i="11"/>
  <c r="L87" i="11"/>
  <c r="O87" i="11"/>
  <c r="O104" i="11"/>
  <c r="K104" i="11"/>
  <c r="L104" i="11"/>
  <c r="K102" i="11"/>
  <c r="O102" i="11"/>
  <c r="L102" i="11"/>
  <c r="L58" i="11"/>
  <c r="O58" i="11"/>
  <c r="K58" i="11"/>
  <c r="K110" i="11"/>
  <c r="O110" i="11"/>
  <c r="L110" i="11"/>
  <c r="K74" i="11"/>
  <c r="O74" i="11"/>
  <c r="L74" i="11"/>
  <c r="L75" i="11"/>
  <c r="O75" i="11"/>
  <c r="K75" i="11"/>
  <c r="L94" i="11"/>
  <c r="K94" i="11"/>
  <c r="O94" i="11"/>
  <c r="Q82" i="11"/>
  <c r="P82" i="11"/>
  <c r="N82" i="11"/>
  <c r="M82" i="11"/>
  <c r="K88" i="11"/>
  <c r="L88" i="11"/>
  <c r="O88" i="11"/>
  <c r="L108" i="11"/>
  <c r="K108" i="11"/>
  <c r="O108" i="11"/>
  <c r="L79" i="11"/>
  <c r="O79" i="11"/>
  <c r="K79" i="11"/>
  <c r="K62" i="11"/>
  <c r="O62" i="11"/>
  <c r="L62" i="11"/>
  <c r="L73" i="11"/>
  <c r="O73" i="11"/>
  <c r="K73" i="11"/>
  <c r="L92" i="11"/>
  <c r="O92" i="11"/>
  <c r="K92" i="11"/>
  <c r="O69" i="11"/>
  <c r="L69" i="11"/>
  <c r="K69" i="11"/>
  <c r="O70" i="11"/>
  <c r="L70" i="11"/>
  <c r="K70" i="11"/>
  <c r="O99" i="11"/>
  <c r="L99" i="11"/>
  <c r="K99" i="11"/>
  <c r="L53" i="11"/>
  <c r="O53" i="11"/>
  <c r="K53" i="11"/>
  <c r="O64" i="11"/>
  <c r="K64" i="11"/>
  <c r="L64" i="11"/>
  <c r="O109" i="11"/>
  <c r="L109" i="11"/>
  <c r="K109" i="11"/>
  <c r="K77" i="11"/>
  <c r="L77" i="11"/>
  <c r="O77" i="11"/>
  <c r="L60" i="11"/>
  <c r="O60" i="11"/>
  <c r="K60" i="11"/>
  <c r="K95" i="11"/>
  <c r="O95" i="11"/>
  <c r="L95" i="11"/>
  <c r="L52" i="11"/>
  <c r="K52" i="11"/>
  <c r="O52" i="11"/>
  <c r="L90" i="11"/>
  <c r="K90" i="11"/>
  <c r="O90" i="11"/>
  <c r="Q85" i="11"/>
  <c r="M85" i="11"/>
  <c r="N85" i="11"/>
  <c r="P85" i="11"/>
  <c r="K67" i="11"/>
  <c r="L67" i="11"/>
  <c r="O67" i="11"/>
  <c r="L80" i="11"/>
  <c r="O80" i="11"/>
  <c r="K80" i="11"/>
  <c r="O103" i="11"/>
  <c r="L103" i="11"/>
  <c r="K103" i="11"/>
  <c r="L78" i="11"/>
  <c r="K78" i="11"/>
  <c r="O78" i="11"/>
  <c r="O98" i="11"/>
  <c r="L85" i="11"/>
  <c r="L82" i="11"/>
  <c r="O85" i="11"/>
  <c r="O82" i="11"/>
  <c r="L107" i="11"/>
  <c r="O89" i="11"/>
  <c r="L72" i="11"/>
  <c r="U39" i="7"/>
  <c r="U33" i="7"/>
  <c r="U32" i="7"/>
  <c r="U38" i="7"/>
  <c r="U20" i="7"/>
  <c r="U35" i="7"/>
  <c r="U31" i="7"/>
  <c r="U29" i="7"/>
  <c r="U37" i="7"/>
  <c r="U15" i="7"/>
  <c r="U14" i="7"/>
  <c r="U36" i="7"/>
  <c r="U16" i="7"/>
  <c r="U23" i="7"/>
  <c r="U27" i="7"/>
  <c r="U22" i="7"/>
  <c r="U21" i="7"/>
  <c r="U30" i="7"/>
  <c r="U28" i="7"/>
  <c r="P55" i="11" l="1"/>
  <c r="N55" i="11"/>
  <c r="Q55" i="11"/>
  <c r="N98" i="11"/>
  <c r="Q89" i="11"/>
  <c r="M98" i="11"/>
  <c r="N68" i="11"/>
  <c r="Q107" i="11"/>
  <c r="P59" i="11"/>
  <c r="M59" i="11"/>
  <c r="N59" i="11"/>
  <c r="Q68" i="11"/>
  <c r="P98" i="11"/>
  <c r="P68" i="11"/>
  <c r="N83" i="11"/>
  <c r="Q83" i="11"/>
  <c r="M83" i="11"/>
  <c r="P83" i="11"/>
  <c r="N107" i="11"/>
  <c r="M107" i="11"/>
  <c r="N72" i="11"/>
  <c r="M72" i="11"/>
  <c r="P72" i="11"/>
  <c r="N89" i="11"/>
  <c r="P89" i="11"/>
  <c r="M92" i="11"/>
  <c r="N92" i="11"/>
  <c r="Q92" i="11"/>
  <c r="P92" i="11"/>
  <c r="M78" i="11"/>
  <c r="Q78" i="11"/>
  <c r="P78" i="11"/>
  <c r="N78" i="11"/>
  <c r="M87" i="11"/>
  <c r="Q87" i="11"/>
  <c r="N87" i="11"/>
  <c r="P87" i="11"/>
  <c r="M53" i="11"/>
  <c r="Q53" i="11"/>
  <c r="P53" i="11"/>
  <c r="N53" i="11"/>
  <c r="N105" i="11"/>
  <c r="Q105" i="11"/>
  <c r="P105" i="11"/>
  <c r="M105" i="11"/>
  <c r="P94" i="11"/>
  <c r="M94" i="11"/>
  <c r="N94" i="11"/>
  <c r="Q94" i="11"/>
  <c r="Q54" i="11"/>
  <c r="M54" i="11"/>
  <c r="N54" i="11"/>
  <c r="P54" i="11"/>
  <c r="N93" i="11"/>
  <c r="P93" i="11"/>
  <c r="Q93" i="11"/>
  <c r="M93" i="11"/>
  <c r="M88" i="11"/>
  <c r="P88" i="11"/>
  <c r="N88" i="11"/>
  <c r="Q88" i="11"/>
  <c r="N79" i="11"/>
  <c r="Q79" i="11"/>
  <c r="P79" i="11"/>
  <c r="M79" i="11"/>
  <c r="M75" i="11"/>
  <c r="N75" i="11"/>
  <c r="Q75" i="11"/>
  <c r="P75" i="11"/>
  <c r="M100" i="11"/>
  <c r="Q100" i="11"/>
  <c r="N100" i="11"/>
  <c r="P100" i="11"/>
  <c r="P103" i="11"/>
  <c r="N103" i="11"/>
  <c r="Q103" i="11"/>
  <c r="M103" i="11"/>
  <c r="N64" i="11"/>
  <c r="P64" i="11"/>
  <c r="Q64" i="11"/>
  <c r="M64" i="11"/>
  <c r="M80" i="11"/>
  <c r="P80" i="11"/>
  <c r="N80" i="11"/>
  <c r="Q80" i="11"/>
  <c r="N99" i="11"/>
  <c r="Q99" i="11"/>
  <c r="M99" i="11"/>
  <c r="P99" i="11"/>
  <c r="P67" i="11"/>
  <c r="M67" i="11"/>
  <c r="N67" i="11"/>
  <c r="Q67" i="11"/>
  <c r="Q70" i="11"/>
  <c r="M70" i="11"/>
  <c r="N70" i="11"/>
  <c r="P70" i="11"/>
  <c r="Q102" i="11"/>
  <c r="N102" i="11"/>
  <c r="M102" i="11"/>
  <c r="P102" i="11"/>
  <c r="M110" i="11"/>
  <c r="Q110" i="11"/>
  <c r="P110" i="11"/>
  <c r="N110" i="11"/>
  <c r="M62" i="11"/>
  <c r="P62" i="11"/>
  <c r="N62" i="11"/>
  <c r="Q62" i="11"/>
  <c r="N77" i="11"/>
  <c r="Q77" i="11"/>
  <c r="P77" i="11"/>
  <c r="M77" i="11"/>
  <c r="P69" i="11"/>
  <c r="Q69" i="11"/>
  <c r="N69" i="11"/>
  <c r="M69" i="11"/>
  <c r="M108" i="11"/>
  <c r="P108" i="11"/>
  <c r="Q108" i="11"/>
  <c r="N108" i="11"/>
  <c r="N104" i="11"/>
  <c r="Q104" i="11"/>
  <c r="M104" i="11"/>
  <c r="P104" i="11"/>
  <c r="M84" i="11"/>
  <c r="N84" i="11"/>
  <c r="P84" i="11"/>
  <c r="Q84" i="11"/>
  <c r="Q63" i="11"/>
  <c r="P63" i="11"/>
  <c r="M63" i="11"/>
  <c r="N63" i="11"/>
  <c r="M90" i="11"/>
  <c r="P90" i="11"/>
  <c r="Q90" i="11"/>
  <c r="N90" i="11"/>
  <c r="Q73" i="11"/>
  <c r="P73" i="11"/>
  <c r="M73" i="11"/>
  <c r="N73" i="11"/>
  <c r="P95" i="11"/>
  <c r="N95" i="11"/>
  <c r="Q95" i="11"/>
  <c r="M95" i="11"/>
  <c r="P60" i="11"/>
  <c r="Q60" i="11"/>
  <c r="N60" i="11"/>
  <c r="M60" i="11"/>
  <c r="N97" i="11"/>
  <c r="P97" i="11"/>
  <c r="Q97" i="11"/>
  <c r="M97" i="11"/>
  <c r="N109" i="11"/>
  <c r="Q109" i="11"/>
  <c r="M109" i="11"/>
  <c r="P109" i="11"/>
  <c r="Q74" i="11"/>
  <c r="M74" i="11"/>
  <c r="P74" i="11"/>
  <c r="N74" i="11"/>
  <c r="Q65" i="11"/>
  <c r="N65" i="11"/>
  <c r="P65" i="11"/>
  <c r="M65" i="11"/>
  <c r="N52" i="11"/>
  <c r="P52" i="11"/>
  <c r="Q52" i="11"/>
  <c r="M52" i="11"/>
  <c r="P58" i="11"/>
  <c r="N58" i="11"/>
  <c r="Q58" i="11"/>
  <c r="M58" i="11"/>
  <c r="Q57" i="11"/>
  <c r="N57" i="11"/>
  <c r="P57" i="11"/>
  <c r="M57" i="11"/>
  <c r="W33" i="7"/>
  <c r="W39" i="7"/>
  <c r="W38" i="7"/>
  <c r="W32" i="7"/>
  <c r="W20" i="7"/>
  <c r="W22" i="7"/>
  <c r="W23" i="7"/>
  <c r="W30" i="7"/>
  <c r="W36" i="7"/>
  <c r="W16" i="7"/>
  <c r="W35" i="7"/>
  <c r="W14" i="7"/>
  <c r="W27" i="7"/>
  <c r="W21" i="7"/>
  <c r="W28" i="7"/>
  <c r="W29" i="7"/>
  <c r="W37" i="7"/>
  <c r="W31" i="7"/>
  <c r="W15" i="7"/>
  <c r="X39" i="7" l="1"/>
  <c r="X33" i="7"/>
  <c r="X32" i="7"/>
  <c r="X38" i="7"/>
  <c r="X22" i="7"/>
  <c r="X35" i="7"/>
  <c r="X29" i="7"/>
  <c r="X31" i="7"/>
  <c r="X27" i="7"/>
  <c r="X30" i="7"/>
  <c r="X23" i="7"/>
  <c r="X21" i="7"/>
  <c r="X28" i="7"/>
  <c r="X37" i="7"/>
  <c r="X36" i="7"/>
  <c r="X14" i="7"/>
  <c r="X20" i="7"/>
  <c r="X15" i="7"/>
  <c r="X16" i="7"/>
  <c r="Z34" i="7" l="1"/>
  <c r="AA34" i="7"/>
  <c r="AA40" i="7"/>
  <c r="Y40" i="7"/>
  <c r="Z40" i="7"/>
  <c r="AB40" i="7" s="1" a="1"/>
  <c r="AB40" i="7" s="1"/>
  <c r="Z33" i="7"/>
  <c r="Y33" i="7"/>
  <c r="AA33" i="7"/>
  <c r="AA39" i="7"/>
  <c r="Y39" i="7"/>
  <c r="Z39" i="7"/>
  <c r="Q34" i="11" a="1"/>
  <c r="Q34" i="11" s="1"/>
  <c r="M36" i="11" a="1"/>
  <c r="M36" i="11" s="1"/>
  <c r="E40" i="11" a="1"/>
  <c r="E40" i="11" s="1"/>
  <c r="M40" i="11" a="1"/>
  <c r="M40" i="11" s="1"/>
  <c r="AJ36" i="7" s="1"/>
  <c r="AA21" i="7"/>
  <c r="Y24" i="7"/>
  <c r="AA32" i="7"/>
  <c r="Z32" i="7"/>
  <c r="Y32" i="7"/>
  <c r="Y27" i="7"/>
  <c r="AA37" i="7"/>
  <c r="Z15" i="7"/>
  <c r="M37" i="11" a="1"/>
  <c r="M37" i="11" s="1"/>
  <c r="Z29" i="7"/>
  <c r="Y14" i="7"/>
  <c r="Z27" i="7"/>
  <c r="Z20" i="7"/>
  <c r="I36" i="11" a="1"/>
  <c r="I36" i="11" s="1"/>
  <c r="I35" i="11" a="1"/>
  <c r="I35" i="11" s="1"/>
  <c r="Y29" i="7"/>
  <c r="AA23" i="7"/>
  <c r="AA31" i="7"/>
  <c r="Y28" i="7"/>
  <c r="Z17" i="7"/>
  <c r="I37" i="11" a="1"/>
  <c r="I37" i="11" s="1"/>
  <c r="E35" i="11" a="1"/>
  <c r="E35" i="11" s="1"/>
  <c r="Y35" i="7"/>
  <c r="Q36" i="11" a="1"/>
  <c r="Q36" i="11" s="1"/>
  <c r="AA16" i="7"/>
  <c r="AA17" i="7"/>
  <c r="AA36" i="7"/>
  <c r="Y19" i="7"/>
  <c r="Y16" i="7"/>
  <c r="Z14" i="7"/>
  <c r="AA24" i="7"/>
  <c r="AA22" i="7"/>
  <c r="Y20" i="7"/>
  <c r="Y21" i="7"/>
  <c r="Q40" i="11" a="1"/>
  <c r="Q40" i="11" s="1"/>
  <c r="I40" i="11" a="1"/>
  <c r="I40" i="11" s="1"/>
  <c r="AQ22" i="7" s="1"/>
  <c r="M35" i="11" a="1"/>
  <c r="M35" i="11" s="1"/>
  <c r="Z23" i="7"/>
  <c r="Z21" i="7"/>
  <c r="AA15" i="7"/>
  <c r="Y15" i="7"/>
  <c r="Y36" i="7"/>
  <c r="AA27" i="7"/>
  <c r="AA30" i="7"/>
  <c r="AA38" i="7"/>
  <c r="Y22" i="7"/>
  <c r="Y34" i="7"/>
  <c r="M34" i="11" a="1"/>
  <c r="M34" i="11" s="1"/>
  <c r="Z35" i="7"/>
  <c r="Y26" i="7"/>
  <c r="Y17" i="7"/>
  <c r="Y37" i="7"/>
  <c r="Z36" i="7"/>
  <c r="Z31" i="7"/>
  <c r="AA35" i="7"/>
  <c r="AA29" i="7"/>
  <c r="AA14" i="7"/>
  <c r="Z38" i="7"/>
  <c r="I34" i="11" a="1"/>
  <c r="I34" i="11" s="1"/>
  <c r="M38" i="11" a="1"/>
  <c r="M38" i="11" s="1"/>
  <c r="Y23" i="7"/>
  <c r="AA28" i="7"/>
  <c r="Z37" i="7"/>
  <c r="Z16" i="7"/>
  <c r="Z28" i="7"/>
  <c r="Y38" i="7"/>
  <c r="Z24" i="7"/>
  <c r="AA20" i="7"/>
  <c r="E34" i="11" a="1"/>
  <c r="E34" i="11" s="1"/>
  <c r="E36" i="11" a="1"/>
  <c r="E36" i="11" s="1"/>
  <c r="Y31" i="7"/>
  <c r="Z22" i="7"/>
  <c r="Q35" i="11" a="1"/>
  <c r="Q35" i="11" s="1"/>
  <c r="Z30" i="7"/>
  <c r="Y30" i="7"/>
  <c r="AB34" i="7" l="1" a="1"/>
  <c r="AB34" i="7" s="1"/>
  <c r="AB39" i="7" a="1"/>
  <c r="AB39" i="7" s="1"/>
  <c r="AC40" i="7" a="1"/>
  <c r="AC40" i="7" s="1"/>
  <c r="AD40" i="7"/>
  <c r="AC34" i="7" a="1"/>
  <c r="AC34" i="7" s="1"/>
  <c r="AD34" i="7"/>
  <c r="AC39" i="7" a="1"/>
  <c r="AC39" i="7" s="1"/>
  <c r="AD39" i="7"/>
  <c r="AC33" i="7" a="1"/>
  <c r="AC33" i="7" s="1"/>
  <c r="AD33" i="7"/>
  <c r="AB33" i="7" a="1"/>
  <c r="AB33" i="7" s="1"/>
  <c r="AB38" i="7" a="1"/>
  <c r="AB38" i="7" s="1"/>
  <c r="AB22" i="7" a="1"/>
  <c r="AB22" i="7" s="1"/>
  <c r="AB31" i="7" a="1"/>
  <c r="AB31" i="7" s="1"/>
  <c r="AB23" i="7" a="1"/>
  <c r="AB23" i="7" s="1"/>
  <c r="AB21" i="7" a="1"/>
  <c r="AB21" i="7" s="1"/>
  <c r="AB37" i="7" a="1"/>
  <c r="AB37" i="7" s="1"/>
  <c r="AB32" i="7" a="1"/>
  <c r="AB32" i="7" s="1"/>
  <c r="AB24" i="7" a="1"/>
  <c r="AB24" i="7" s="1"/>
  <c r="AB30" i="7" a="1"/>
  <c r="AB30" i="7" s="1"/>
  <c r="AD30" i="7"/>
  <c r="AC30" i="7" a="1"/>
  <c r="AC30" i="7" s="1"/>
  <c r="AB27" i="7" a="1"/>
  <c r="AB27" i="7" s="1"/>
  <c r="H34" i="11" a="1"/>
  <c r="H34" i="11" s="1"/>
  <c r="AP16" i="7" s="1"/>
  <c r="AQ16" i="7"/>
  <c r="AC27" i="7" a="1"/>
  <c r="AC27" i="7" s="1"/>
  <c r="AD27" i="7"/>
  <c r="AD36" i="7"/>
  <c r="AC36" i="7" a="1"/>
  <c r="AC36" i="7" s="1"/>
  <c r="AC17" i="7" a="1"/>
  <c r="AC17" i="7" s="1"/>
  <c r="AD17" i="7"/>
  <c r="AB29" i="7" a="1"/>
  <c r="AB29" i="7" s="1"/>
  <c r="AD16" i="7"/>
  <c r="AC16" i="7" a="1"/>
  <c r="AC16" i="7" s="1"/>
  <c r="L37" i="11" a="1"/>
  <c r="L37" i="11" s="1"/>
  <c r="AI33" i="7" s="1"/>
  <c r="AJ33" i="7"/>
  <c r="AQ32" i="7"/>
  <c r="P36" i="11" a="1"/>
  <c r="P36" i="11" s="1"/>
  <c r="AP32" i="7" s="1"/>
  <c r="AB15" i="7" a="1"/>
  <c r="AB15" i="7" s="1"/>
  <c r="AJ34" i="7"/>
  <c r="L38" i="11" a="1"/>
  <c r="L38" i="11" s="1"/>
  <c r="AI34" i="7" s="1"/>
  <c r="AC37" i="7" a="1"/>
  <c r="AC37" i="7" s="1"/>
  <c r="AD37" i="7"/>
  <c r="P35" i="11" a="1"/>
  <c r="P35" i="11" s="1"/>
  <c r="AP31" i="7" s="1"/>
  <c r="AQ31" i="7"/>
  <c r="AJ17" i="7"/>
  <c r="D35" i="11" a="1"/>
  <c r="D35" i="11" s="1"/>
  <c r="AI17" i="7" s="1"/>
  <c r="D36" i="11" a="1"/>
  <c r="D36" i="11" s="1"/>
  <c r="AI18" i="7" s="1"/>
  <c r="AJ18" i="7"/>
  <c r="H37" i="11" a="1"/>
  <c r="H37" i="11" s="1"/>
  <c r="AP19" i="7" s="1"/>
  <c r="AQ19" i="7"/>
  <c r="AB36" i="7" a="1"/>
  <c r="AB36" i="7" s="1"/>
  <c r="AC20" i="7" a="1"/>
  <c r="AC20" i="7" s="1"/>
  <c r="AD20" i="7"/>
  <c r="AB17" i="7" a="1"/>
  <c r="AB17" i="7" s="1"/>
  <c r="AD29" i="7"/>
  <c r="AC29" i="7" a="1"/>
  <c r="AC29" i="7" s="1"/>
  <c r="D27" i="11"/>
  <c r="AQ36" i="7"/>
  <c r="AC32" i="7" a="1"/>
  <c r="AC32" i="7" s="1"/>
  <c r="AD32" i="7"/>
  <c r="AC14" i="7" a="1"/>
  <c r="AC14" i="7" s="1"/>
  <c r="AD14" i="7"/>
  <c r="AC31" i="7" a="1"/>
  <c r="AC31" i="7" s="1"/>
  <c r="AD31" i="7"/>
  <c r="L35" i="11" a="1"/>
  <c r="L35" i="11" s="1"/>
  <c r="AI31" i="7" s="1"/>
  <c r="AJ31" i="7"/>
  <c r="AB28" i="7" a="1"/>
  <c r="AB28" i="7" s="1"/>
  <c r="AB35" i="7" a="1"/>
  <c r="AB35" i="7" s="1"/>
  <c r="AC23" i="7" a="1"/>
  <c r="AC23" i="7" s="1"/>
  <c r="AD23" i="7"/>
  <c r="AC21" i="7" a="1"/>
  <c r="AC21" i="7" s="1"/>
  <c r="AD21" i="7"/>
  <c r="AJ30" i="7"/>
  <c r="L34" i="11" a="1"/>
  <c r="L34" i="11" s="1"/>
  <c r="AI30" i="7" s="1"/>
  <c r="AC22" i="7" a="1"/>
  <c r="AC22" i="7" s="1"/>
  <c r="AD22" i="7"/>
  <c r="D34" i="11" a="1"/>
  <c r="D34" i="11" s="1"/>
  <c r="AI16" i="7" s="1"/>
  <c r="AJ16" i="7"/>
  <c r="AC24" i="7" a="1"/>
  <c r="AC24" i="7" s="1"/>
  <c r="AD24" i="7"/>
  <c r="AQ17" i="7"/>
  <c r="H35" i="11" a="1"/>
  <c r="H35" i="11" s="1"/>
  <c r="AP17" i="7" s="1"/>
  <c r="D25" i="11"/>
  <c r="D26" i="11" s="1"/>
  <c r="AJ22" i="7"/>
  <c r="E39" i="11"/>
  <c r="AB14" i="7" a="1"/>
  <c r="AB14" i="7" s="1"/>
  <c r="AQ18" i="7"/>
  <c r="H36" i="11" a="1"/>
  <c r="H36" i="11" s="1"/>
  <c r="AP18" i="7" s="1"/>
  <c r="L36" i="11" a="1"/>
  <c r="L36" i="11" s="1"/>
  <c r="AI32" i="7" s="1"/>
  <c r="AJ32" i="7"/>
  <c r="AD15" i="7"/>
  <c r="AC15" i="7" a="1"/>
  <c r="AC15" i="7" s="1"/>
  <c r="AC35" i="7" a="1"/>
  <c r="AC35" i="7" s="1"/>
  <c r="AD35" i="7"/>
  <c r="AB16" i="7" a="1"/>
  <c r="AB16" i="7" s="1"/>
  <c r="AD28" i="7"/>
  <c r="AC28" i="7" a="1"/>
  <c r="AC28" i="7" s="1"/>
  <c r="AC38" i="7" a="1"/>
  <c r="AC38" i="7" s="1"/>
  <c r="AD38" i="7"/>
  <c r="AB20" i="7" a="1"/>
  <c r="AB20" i="7" s="1"/>
  <c r="P34" i="11" a="1"/>
  <c r="P34" i="11" s="1"/>
  <c r="AP30" i="7" s="1"/>
  <c r="AQ30" i="7"/>
  <c r="AJ21" i="7" l="1"/>
  <c r="D39" i="11"/>
  <c r="AI2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<sst xmlns="http://schemas.openxmlformats.org/spreadsheetml/2006/main" count="257" uniqueCount="149">
  <si>
    <t>Setting</t>
  </si>
  <si>
    <t>Tracking</t>
  </si>
  <si>
    <t>Overview</t>
  </si>
  <si>
    <t>Krypto</t>
  </si>
  <si>
    <t>General Setting</t>
  </si>
  <si>
    <t>Start Jahr:</t>
  </si>
  <si>
    <t>Setz das Anfangsjahr (yyyy) und verändere diesen Wert nicht</t>
  </si>
  <si>
    <t xml:space="preserve"> Tracking Setting</t>
  </si>
  <si>
    <t>Monatliches Einkommen:</t>
  </si>
  <si>
    <t>Starte ab X im Monat</t>
  </si>
  <si>
    <t>Einkommen's Verschiebung</t>
  </si>
  <si>
    <t>Aktiviere diese Option um Einkommen nach einem bestimmten Tag im Monat, auf den darauffolgenden Monat zuzuschreiben. Dies wird empfohlen falls man das Gehalt am Ende eines Monats bekommt.</t>
  </si>
  <si>
    <t>KPI Berechnung im Dashboard</t>
  </si>
  <si>
    <t xml:space="preserve"> Sparrate als % des Einkommens</t>
  </si>
  <si>
    <t>Entscheide wie du deine Sparrate auf der KPI berechnen lassen willst :
1) Aktive Option (% allocated to Savings):                                    Sparrate= Savings/Income
2)Passive Option (% not allocated to Expenses):                     Sparrate= (Income - Expenses) / Income</t>
  </si>
  <si>
    <t>Data</t>
  </si>
  <si>
    <t>KPI Berechnung</t>
  </si>
  <si>
    <t>Aktiv</t>
  </si>
  <si>
    <t>Passiv</t>
  </si>
  <si>
    <t>Total</t>
  </si>
  <si>
    <t>Einkommen</t>
  </si>
  <si>
    <t>übriges Geld:</t>
  </si>
  <si>
    <t>Farben:</t>
  </si>
  <si>
    <t>Gebe Einkommenskategorien ein…</t>
  </si>
  <si>
    <t>Fixkosten</t>
  </si>
  <si>
    <t xml:space="preserve"> </t>
  </si>
  <si>
    <t>Gebe Fixkostenkategorien ein…</t>
  </si>
  <si>
    <t>Variablekosten</t>
  </si>
  <si>
    <t>Gebe Variablekostenkategorien ein…</t>
  </si>
  <si>
    <t>Investment</t>
  </si>
  <si>
    <t>Var 1</t>
  </si>
  <si>
    <t>Var 2</t>
  </si>
  <si>
    <t>Var 3</t>
  </si>
  <si>
    <t>Var 4</t>
  </si>
  <si>
    <t>Var 5</t>
  </si>
  <si>
    <t>Inv 1</t>
  </si>
  <si>
    <t>Inv 2</t>
  </si>
  <si>
    <t>Fix 1</t>
  </si>
  <si>
    <t>Fix 2</t>
  </si>
  <si>
    <t>Fix 3</t>
  </si>
  <si>
    <t>Fix 4</t>
  </si>
  <si>
    <t>Ein 1</t>
  </si>
  <si>
    <t>Ein 2</t>
  </si>
  <si>
    <t>Inv 3</t>
  </si>
  <si>
    <t>PLAN</t>
  </si>
  <si>
    <t>Ein 3</t>
  </si>
  <si>
    <t>Datum</t>
  </si>
  <si>
    <t>Type</t>
  </si>
  <si>
    <t>Kategorie</t>
  </si>
  <si>
    <t>Betrag</t>
  </si>
  <si>
    <t>Details</t>
  </si>
  <si>
    <t>Subkategorie</t>
  </si>
  <si>
    <t>Effektiv Datum</t>
  </si>
  <si>
    <t>Sheet: Tracking</t>
  </si>
  <si>
    <t xml:space="preserve">Heute: </t>
  </si>
  <si>
    <t>Calculations</t>
  </si>
  <si>
    <t>Dropdown Data</t>
  </si>
  <si>
    <t>Letzter Eintrag:</t>
  </si>
  <si>
    <t>Delta Letzter Eintrag:</t>
  </si>
  <si>
    <t># Einträge:</t>
  </si>
  <si>
    <t># Einträge dieses Jahr:</t>
  </si>
  <si>
    <t>Tracking Bilanz:</t>
  </si>
  <si>
    <t>Bilanz Analyse:</t>
  </si>
  <si>
    <t>Jahr</t>
  </si>
  <si>
    <t>Anzeigejahr wählen ➜</t>
  </si>
  <si>
    <t>Anzeigeperiode wählen ➜</t>
  </si>
  <si>
    <t>Periode</t>
  </si>
  <si>
    <t>Jahr Dropdown</t>
  </si>
  <si>
    <t>Aktuelles Jahr</t>
  </si>
  <si>
    <t>Periode Dropdown</t>
  </si>
  <si>
    <t>Aktueller Monat</t>
  </si>
  <si>
    <t>Jahresübersicht</t>
  </si>
  <si>
    <t>Home</t>
  </si>
  <si>
    <t>Net Worth</t>
  </si>
  <si>
    <t>Worksheet: Budget Dashboard</t>
  </si>
  <si>
    <t>Selected Year:</t>
  </si>
  <si>
    <t>Selected Period:</t>
  </si>
  <si>
    <t>Selected Period (Display):</t>
  </si>
  <si>
    <t>Days in Period:</t>
  </si>
  <si>
    <t>Days passed in Period:</t>
  </si>
  <si>
    <t>Days passed in Period %:</t>
  </si>
  <si>
    <t>Period Tracking Balannce:</t>
  </si>
  <si>
    <t>Balance Analysis Text:</t>
  </si>
  <si>
    <t>Period Savings Rate:</t>
  </si>
  <si>
    <t>ETF / Stocks</t>
  </si>
  <si>
    <t>Housing</t>
  </si>
  <si>
    <t>Cash</t>
  </si>
  <si>
    <t>Bonds</t>
  </si>
  <si>
    <t>row_id</t>
  </si>
  <si>
    <t>header_row_id</t>
  </si>
  <si>
    <t>is_header</t>
  </si>
  <si>
    <t>is_cat</t>
  </si>
  <si>
    <t>is_total</t>
  </si>
  <si>
    <t>is_empty</t>
  </si>
  <si>
    <t>type</t>
  </si>
  <si>
    <t>item</t>
  </si>
  <si>
    <t>tracked</t>
  </si>
  <si>
    <t>budget</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</si>
  <si>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</si>
  <si>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</si>
  <si>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</si>
  <si>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</si>
  <si>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</si>
  <si>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</si>
  <si>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</si>
  <si>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</si>
  <si>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</si>
  <si>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</si>
  <si>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</si>
  <si>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</si>
  <si>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#3C7D22</t>
  </si>
  <si>
    <t>#00B0F0</t>
  </si>
  <si>
    <t>#C00000</t>
  </si>
  <si>
    <t>#FF731D</t>
  </si>
  <si>
    <t>#FF9F9F</t>
  </si>
  <si>
    <t>#FFB78B</t>
  </si>
  <si>
    <t>#CAE9F6</t>
  </si>
  <si>
    <t>#92D050</t>
  </si>
  <si>
    <t>Chart Calculations: Category Distribution Charts</t>
  </si>
  <si>
    <t>Bilanz</t>
  </si>
  <si>
    <t>Show Einkommen:</t>
  </si>
  <si>
    <t>Show Investments:</t>
  </si>
  <si>
    <t>Show Rem. Budget:</t>
  </si>
  <si>
    <t>Period in Focus</t>
  </si>
  <si>
    <t>Period not in Focus</t>
  </si>
  <si>
    <t>Month</t>
  </si>
  <si>
    <t>Month Num.</t>
  </si>
  <si>
    <t>In Focus</t>
  </si>
  <si>
    <t>Show Type</t>
  </si>
  <si>
    <t>Show Rem. Budget</t>
  </si>
  <si>
    <t>Tracked</t>
  </si>
  <si>
    <t>Budget</t>
  </si>
  <si>
    <t>Delta</t>
  </si>
  <si>
    <t>In Budget</t>
  </si>
  <si>
    <t>Remaining</t>
  </si>
  <si>
    <t>Excess</t>
  </si>
  <si>
    <t>Chart Calculations: Tracked (vs. Budget) Chart</t>
  </si>
  <si>
    <t>Show Fixkosten:</t>
  </si>
  <si>
    <t>Show Variablekosten:</t>
  </si>
  <si>
    <t>Chart Calculations: Yearly Development of Typs</t>
  </si>
  <si>
    <t>Zeilenbeschriftungen</t>
  </si>
  <si>
    <t>Gesamtergebnis</t>
  </si>
  <si>
    <t>Summe von Betrag</t>
  </si>
  <si>
    <t>Subkategorien</t>
  </si>
  <si>
    <t>Subkategorien - Totale Kosten</t>
  </si>
  <si>
    <t>Chart Calculations: Subkategorie</t>
  </si>
  <si>
    <t>Empfänger</t>
  </si>
  <si>
    <t>Schlagwort</t>
  </si>
  <si>
    <t>(Alle)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</si>
</sst>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 #,##0.00\ &quot;€&quot;_-;\-* #,##0.00\ &quot;€&quot;_-;_-* &quot;-&quot;??\ &quot;€&quot;_-;_-@_-"/>
    <numFmt numFmtId="164" formatCode="mmm"/>
    <numFmt numFmtId="165" formatCode="_-* #,##0.00\ [$€-407]_-;\-* #,##0.00\ [$€-407]_-;_-* &quot;-&quot;??\ [$€-407]_-;_-@_-"/>
    <numFmt numFmtId="166" formatCode="dd/\ mmm\ yyyy"/>
    <numFmt numFmtId="167" formatCode="#,##0.00\ &quot;€&quot;"/>
    <numFmt numFmtId="168" formatCode="[$-407]d/\ mmm\ yy;@"/>
    <numFmt numFmtId="169" formatCode="mmmm"/>
    <numFmt numFmtId="170" formatCode="_-* #,##0\ &quot;€&quot;_-;\-* #,##0\ &quot;€&quot;_-;_-* &quot;-&quot;??\ &quot;€&quot;_-;_-@_-"/>
    <numFmt numFmtId="171" formatCode="_-* #,##0\ [$€-407]_-;\-* #,##0\ [$€-407]_-;_-* &quot;-&quot;??\ [$€-407]_-;_-@_-"/>
  </numFmts>
  <fonts count="30" x14ac:knownFonts="1">
    <font>
      <sz val="11"/>
      <color theme="1"/>
      <name val="Aptos Narrow"/>
      <family val="2"/>
      <scheme val="minor"/>
    </font>
    <font>
      <b/>
      <sz val="11"/>
      <color theme="0"/>
      <name val="Aptos Narrow"/>
      <family val="2"/>
      <scheme val="minor"/>
    </font>
    <font>
      <b/>
      <sz val="11"/>
      <color theme="1"/>
      <name val="Aptos Narrow"/>
      <family val="2"/>
      <scheme val="minor"/>
    </font>
    <font>
      <b/>
      <sz val="28"/>
      <color theme="0"/>
      <name val="Arial Black"/>
      <family val="2"/>
    </font>
    <font>
      <sz val="28"/>
      <color theme="0"/>
      <name val="Aptos Narrow"/>
      <family val="2"/>
      <scheme val="minor"/>
    </font>
    <font>
      <sz val="11"/>
      <color theme="2" tint="-0.249977111117893"/>
      <name val="Aptos Narrow"/>
      <family val="2"/>
      <scheme val="minor"/>
    </font>
    <font>
      <sz val="11"/>
      <color theme="1"/>
      <name val="Aptos Narrow"/>
      <family val="2"/>
      <scheme val="minor"/>
    </font>
    <font>
      <b/>
      <sz val="14"/>
      <color theme="0"/>
      <name val="Aptos Narrow"/>
      <family val="2"/>
      <scheme val="minor"/>
    </font>
    <font>
      <sz val="8"/>
      <name val="Aptos Narrow"/>
      <family val="2"/>
      <scheme val="minor"/>
    </font>
    <font>
      <i/>
      <sz val="11"/>
      <color theme="1" tint="0.499984740745262"/>
      <name val="Aptos Narrow"/>
      <family val="2"/>
      <scheme val="minor"/>
    </font>
    <font>
      <i/>
      <sz val="11"/>
      <color theme="2" tint="-0.249977111117893"/>
      <name val="Aptos Narrow"/>
      <family val="2"/>
      <scheme val="minor"/>
    </font>
    <font>
      <sz val="11"/>
      <color theme="0" tint="-0.499984740745262"/>
      <name val="Aptos Narrow"/>
      <family val="2"/>
      <scheme val="minor"/>
    </font>
    <font>
      <b/>
      <sz val="11"/>
      <color theme="0" tint="-0.499984740745262"/>
      <name val="Aptos Narrow"/>
      <family val="2"/>
      <scheme val="minor"/>
    </font>
    <font>
      <sz val="28"/>
      <color theme="0"/>
      <name val="Aptos Black"/>
      <family val="2"/>
    </font>
    <font>
      <sz val="12"/>
      <color theme="1"/>
      <name val="Aptos Narrow"/>
      <family val="2"/>
      <scheme val="minor"/>
    </font>
    <font>
      <i/>
      <sz val="12"/>
      <color theme="1"/>
      <name val="Aptos Narrow"/>
      <family val="2"/>
      <scheme val="minor"/>
    </font>
    <font>
      <sz val="12"/>
      <color theme="1" tint="0.499984740745262"/>
      <name val="Aptos Narrow"/>
      <family val="2"/>
      <scheme val="minor"/>
    </font>
    <font>
      <b/>
      <sz val="12"/>
      <color theme="1"/>
      <name val="Aptos Narrow"/>
      <family val="2"/>
      <scheme val="minor"/>
    </font>
    <font>
      <sz val="11"/>
      <color theme="1" tint="0.499984740745262"/>
      <name val="Aptos Narrow"/>
      <family val="2"/>
      <scheme val="minor"/>
    </font>
    <font>
      <sz val="11"/>
      <color theme="1"/>
      <name val="Calibri"/>
      <family val="2"/>
    </font>
    <font>
      <b/>
      <sz val="11"/>
      <color theme="1"/>
      <name val="Calibri"/>
      <family val="2"/>
    </font>
    <font>
      <sz val="9"/>
      <name val="Aptos Narrow"/>
      <family val="2"/>
      <scheme val="minor"/>
    </font>
    <font>
      <sz val="8"/>
      <color theme="1"/>
      <name val="Calibri"/>
      <family val="2"/>
    </font>
    <font>
      <sz val="10"/>
      <color theme="1"/>
      <name val="Calibri"/>
      <family val="2"/>
    </font>
    <font>
      <b/>
      <sz val="10"/>
      <color theme="1"/>
      <name val="Calibri"/>
      <family val="2"/>
    </font>
    <font>
      <b/>
      <sz val="11"/>
      <color theme="0"/>
      <name val="Calibri"/>
      <family val="2"/>
    </font>
    <font>
      <b/>
      <sz val="11"/>
      <name val="Calibri"/>
      <family val="2"/>
    </font>
    <font>
      <sz val="11"/>
      <name val="Calibri"/>
      <family val="2"/>
    </font>
    <font>
      <b/>
      <sz val="11"/>
      <name val="Aptos Narrow"/>
      <family val="2"/>
      <scheme val="minor"/>
    </font>
    <font>
      <sz val="8"/>
      <color rgb="FF000000"/>
      <name val="Segoe UI"/>
      <family val="2"/>
    </font>
  </fonts>
  <fills count="20">
    <fill>
      <patternFill patternType="none"/>
    </fill>
    <fill>
      <patternFill patternType="gray125"/>
    </fill>
    <fill>
      <patternFill patternType="solid">
        <fgColor theme="2" tint="-0.749992370372631"/>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00B0F0"/>
        <bgColor indexed="64"/>
      </patternFill>
    </fill>
    <fill>
      <patternFill patternType="solid">
        <fgColor theme="9" tint="-0.249977111117893"/>
        <bgColor indexed="64"/>
      </patternFill>
    </fill>
    <fill>
      <patternFill patternType="solid">
        <fgColor rgb="FFC00000"/>
        <bgColor indexed="64"/>
      </patternFill>
    </fill>
    <fill>
      <patternFill patternType="solid">
        <fgColor rgb="FFFF731D"/>
        <bgColor indexed="64"/>
      </patternFill>
    </fill>
    <fill>
      <patternFill patternType="solid">
        <fgColor rgb="FFFFB78B"/>
        <bgColor indexed="64"/>
      </patternFill>
    </fill>
    <fill>
      <patternFill patternType="solid">
        <fgColor theme="1" tint="0.24994659260841701"/>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CAE9F6"/>
        <bgColor indexed="64"/>
      </patternFill>
    </fill>
    <fill>
      <patternFill patternType="solid">
        <fgColor rgb="FFFF9F9F"/>
        <bgColor indexed="64"/>
      </patternFill>
    </fill>
    <fill>
      <patternFill patternType="solid">
        <fgColor rgb="FF92D050"/>
        <bgColor indexed="64"/>
      </patternFill>
    </fill>
    <fill>
      <patternFill patternType="solid">
        <fgColor theme="3"/>
        <bgColor indexed="64"/>
      </patternFill>
    </fill>
    <fill>
      <patternFill patternType="solid">
        <fgColor theme="5"/>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top style="medium">
        <color indexed="64"/>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thin">
        <color theme="0" tint="-0.34998626667073579"/>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dotted">
        <color theme="1" tint="0.499984740745262"/>
      </bottom>
      <diagonal/>
    </border>
    <border>
      <left style="thin">
        <color indexed="64"/>
      </left>
      <right/>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style="double">
        <color indexed="64"/>
      </top>
      <bottom/>
      <diagonal/>
    </border>
    <border>
      <left/>
      <right/>
      <top style="hair">
        <color indexed="64"/>
      </top>
      <bottom style="double">
        <color indexed="64"/>
      </bottom>
      <diagonal/>
    </border>
    <border>
      <left/>
      <right/>
      <top style="hair">
        <color auto="1"/>
      </top>
      <bottom/>
      <diagonal/>
    </border>
    <border>
      <left/>
      <right/>
      <top style="thin">
        <color theme="1"/>
      </top>
      <bottom style="thin">
        <color theme="1"/>
      </bottom>
      <diagonal/>
    </border>
  </borders>
  <cellStyleXfs count="3">
    <xf numFmtId="0" fontId="0" fillId="0" borderId="0">
      <alignment wrapText="1"/>
    </xf>
    <xf numFmtId="44" fontId="6" fillId="0" borderId="0" applyFont="0" applyFill="0" applyBorder="0" applyAlignment="0" applyProtection="0"/>
    <xf numFmtId="9" fontId="6" fillId="0" borderId="0" applyFont="0" applyFill="0" applyBorder="0" applyAlignment="0" applyProtection="0"/>
  </cellStyleXfs>
  <cellXfs count="174">
    <xf numFmtId="0" fontId="0" fillId="0" borderId="0" xfId="0">
      <alignment wrapText="1"/>
    </xf>
    <xf numFmtId="0" fontId="0" fillId="0" borderId="4" xfId="0" applyBorder="1">
      <alignment wrapText="1"/>
    </xf>
    <xf numFmtId="0" fontId="0" fillId="0" borderId="5" xfId="0" applyBorder="1">
      <alignment wrapText="1"/>
    </xf>
    <xf numFmtId="0" fontId="0" fillId="0" borderId="6" xfId="0" applyBorder="1">
      <alignment wrapText="1"/>
    </xf>
    <xf numFmtId="0" fontId="0" fillId="0" borderId="7" xfId="0" applyBorder="1">
      <alignment wrapText="1"/>
    </xf>
    <xf numFmtId="0" fontId="0" fillId="0" borderId="8" xfId="0" applyBorder="1">
      <alignment wrapText="1"/>
    </xf>
    <xf numFmtId="0" fontId="0" fillId="0" borderId="0" xfId="0"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0" borderId="7" xfId="0" applyBorder="1" applyAlignment="1">
      <alignment horizontal="center"/>
    </xf>
    <xf numFmtId="0" fontId="0" fillId="3" borderId="0" xfId="0" applyFill="1">
      <alignment wrapText="1"/>
    </xf>
    <xf numFmtId="0" fontId="5" fillId="0" borderId="5" xfId="0" applyFont="1" applyBorder="1">
      <alignment wrapText="1"/>
    </xf>
    <xf numFmtId="0" fontId="9" fillId="0" borderId="0" xfId="0" applyFont="1" applyAlignment="1">
      <alignment horizontal="right"/>
    </xf>
    <xf numFmtId="0" fontId="0" fillId="5" borderId="0" xfId="0" applyFill="1">
      <alignment wrapText="1"/>
    </xf>
    <xf numFmtId="0" fontId="1" fillId="6" borderId="0" xfId="0" applyFont="1" applyFill="1" applyAlignment="1">
      <alignment horizontal="left" indent="1"/>
    </xf>
    <xf numFmtId="164" fontId="1" fillId="6" borderId="0" xfId="0" applyNumberFormat="1" applyFont="1" applyFill="1" applyAlignment="1">
      <alignment horizontal="center"/>
    </xf>
    <xf numFmtId="0" fontId="1" fillId="6" borderId="0" xfId="0" applyFont="1" applyFill="1" applyAlignment="1">
      <alignment horizontal="center"/>
    </xf>
    <xf numFmtId="0" fontId="2" fillId="0" borderId="10" xfId="0" applyFont="1" applyBorder="1" applyAlignment="1">
      <alignment horizontal="left" indent="1"/>
    </xf>
    <xf numFmtId="0" fontId="11" fillId="0" borderId="0" xfId="0" applyFont="1" applyAlignment="1">
      <alignment horizontal="left" indent="1"/>
    </xf>
    <xf numFmtId="44" fontId="11" fillId="0" borderId="10" xfId="1" applyFont="1" applyBorder="1"/>
    <xf numFmtId="44" fontId="2" fillId="0" borderId="10" xfId="1" applyFont="1" applyBorder="1"/>
    <xf numFmtId="44" fontId="12" fillId="0" borderId="10" xfId="1" applyFont="1" applyBorder="1"/>
    <xf numFmtId="0" fontId="1" fillId="7" borderId="0" xfId="0" applyFont="1" applyFill="1" applyAlignment="1">
      <alignment horizontal="left" indent="1"/>
    </xf>
    <xf numFmtId="164" fontId="1" fillId="7" borderId="0" xfId="0" applyNumberFormat="1" applyFont="1" applyFill="1" applyAlignment="1">
      <alignment horizontal="center"/>
    </xf>
    <xf numFmtId="0" fontId="1" fillId="7" borderId="0" xfId="0" applyFont="1" applyFill="1" applyAlignment="1">
      <alignment horizontal="center"/>
    </xf>
    <xf numFmtId="0" fontId="0" fillId="7" borderId="0" xfId="0" applyFill="1">
      <alignment wrapText="1"/>
    </xf>
    <xf numFmtId="0" fontId="1" fillId="6" borderId="10" xfId="0" applyFont="1" applyFill="1" applyBorder="1" applyAlignment="1">
      <alignment horizontal="left" indent="1"/>
    </xf>
    <xf numFmtId="0" fontId="0" fillId="8" borderId="0" xfId="0" applyFill="1">
      <alignment wrapText="1"/>
    </xf>
    <xf numFmtId="0" fontId="0" fillId="8" borderId="0" xfId="0" applyFill="1" applyAlignment="1">
      <alignment horizontal="left" indent="1"/>
    </xf>
    <xf numFmtId="164" fontId="1" fillId="8" borderId="0" xfId="0" applyNumberFormat="1" applyFont="1" applyFill="1" applyAlignment="1">
      <alignment horizontal="center"/>
    </xf>
    <xf numFmtId="0" fontId="1" fillId="8" borderId="0" xfId="0" applyFont="1" applyFill="1" applyAlignment="1">
      <alignment horizontal="center"/>
    </xf>
    <xf numFmtId="0" fontId="0" fillId="9" borderId="0" xfId="0" applyFill="1">
      <alignment wrapText="1"/>
    </xf>
    <xf numFmtId="164" fontId="1" fillId="5" borderId="0" xfId="0" applyNumberFormat="1" applyFont="1" applyFill="1" applyAlignment="1">
      <alignment horizontal="center"/>
    </xf>
    <xf numFmtId="0" fontId="1" fillId="5" borderId="0" xfId="0" applyFont="1" applyFill="1" applyAlignment="1">
      <alignment horizontal="center"/>
    </xf>
    <xf numFmtId="0" fontId="0" fillId="5" borderId="0" xfId="0" applyFill="1" applyAlignment="1">
      <alignment horizontal="left" indent="1"/>
    </xf>
    <xf numFmtId="0" fontId="2" fillId="0" borderId="9" xfId="0" applyFont="1" applyBorder="1" applyAlignment="1">
      <alignment horizontal="center" vertical="center"/>
    </xf>
    <xf numFmtId="0" fontId="2" fillId="0" borderId="9" xfId="0" applyFont="1" applyBorder="1" applyAlignment="1">
      <alignment horizontal="center"/>
    </xf>
    <xf numFmtId="165" fontId="0" fillId="0" borderId="9" xfId="0" applyNumberFormat="1" applyBorder="1" applyAlignment="1">
      <alignment horizontal="left" indent="2"/>
    </xf>
    <xf numFmtId="165" fontId="2" fillId="0" borderId="9" xfId="0" applyNumberFormat="1" applyFont="1" applyBorder="1" applyAlignment="1">
      <alignment horizontal="left" indent="2"/>
    </xf>
    <xf numFmtId="0" fontId="4" fillId="2" borderId="0" xfId="0" applyFont="1" applyFill="1">
      <alignment wrapText="1"/>
    </xf>
    <xf numFmtId="0" fontId="0" fillId="0" borderId="0" xfId="0" applyAlignment="1">
      <alignment horizontal="left" vertical="center" indent="1"/>
    </xf>
    <xf numFmtId="0" fontId="0" fillId="11" borderId="0" xfId="0" applyFill="1" applyAlignment="1">
      <alignment horizontal="left" vertical="center" indent="1"/>
    </xf>
    <xf numFmtId="15" fontId="16" fillId="0" borderId="0" xfId="0" applyNumberFormat="1" applyFont="1" applyAlignment="1">
      <alignment horizontal="right" indent="1"/>
    </xf>
    <xf numFmtId="0" fontId="1" fillId="10" borderId="11" xfId="0" applyFont="1" applyFill="1" applyBorder="1" applyAlignment="1">
      <alignment horizontal="left" vertical="center" indent="1"/>
    </xf>
    <xf numFmtId="15" fontId="0" fillId="0" borderId="0" xfId="0" applyNumberFormat="1">
      <alignment wrapText="1"/>
    </xf>
    <xf numFmtId="0" fontId="0" fillId="0" borderId="1" xfId="0" applyBorder="1">
      <alignment wrapText="1"/>
    </xf>
    <xf numFmtId="0" fontId="0" fillId="0" borderId="2" xfId="0" applyBorder="1" applyAlignment="1">
      <alignment horizontal="center"/>
    </xf>
    <xf numFmtId="0" fontId="0" fillId="0" borderId="2" xfId="0" applyBorder="1">
      <alignment wrapText="1"/>
    </xf>
    <xf numFmtId="0" fontId="0" fillId="0" borderId="2" xfId="0" applyBorder="1" applyAlignment="1">
      <alignment horizontal="center" vertical="center"/>
    </xf>
    <xf numFmtId="0" fontId="0" fillId="0" borderId="3" xfId="0" applyBorder="1">
      <alignment wrapText="1"/>
    </xf>
    <xf numFmtId="167" fontId="16" fillId="0" borderId="0" xfId="0" applyNumberFormat="1" applyFont="1" applyAlignment="1">
      <alignment horizontal="right" indent="1"/>
    </xf>
    <xf numFmtId="0" fontId="17" fillId="0" borderId="0" xfId="0" applyFont="1">
      <alignment wrapText="1"/>
    </xf>
    <xf numFmtId="168" fontId="14" fillId="0" borderId="0" xfId="0" applyNumberFormat="1" applyFont="1">
      <alignment wrapText="1"/>
    </xf>
    <xf numFmtId="0" fontId="0" fillId="0" borderId="0" xfId="0" applyAlignment="1">
      <alignment horizontal="right"/>
    </xf>
    <xf numFmtId="167" fontId="0" fillId="0" borderId="0" xfId="0" applyNumberFormat="1">
      <alignment wrapText="1"/>
    </xf>
    <xf numFmtId="0" fontId="1" fillId="10" borderId="20" xfId="0" applyFont="1" applyFill="1"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69" fontId="0" fillId="0" borderId="21" xfId="0" applyNumberFormat="1" applyBorder="1" applyAlignment="1">
      <alignment horizontal="center" vertical="center"/>
    </xf>
    <xf numFmtId="0" fontId="0" fillId="0" borderId="22" xfId="0" applyBorder="1">
      <alignment wrapText="1"/>
    </xf>
    <xf numFmtId="0" fontId="10" fillId="0" borderId="0" xfId="0" applyFont="1">
      <alignment wrapText="1"/>
    </xf>
    <xf numFmtId="0" fontId="10" fillId="0" borderId="7" xfId="0" applyFont="1" applyBorder="1">
      <alignment wrapText="1"/>
    </xf>
    <xf numFmtId="166" fontId="14" fillId="0" borderId="0" xfId="0" applyNumberFormat="1" applyFont="1" applyAlignment="1">
      <alignment horizontal="left" vertical="center"/>
    </xf>
    <xf numFmtId="0" fontId="14" fillId="0" borderId="0" xfId="0" applyFont="1" applyAlignment="1">
      <alignment horizontal="left" vertical="center"/>
    </xf>
    <xf numFmtId="0" fontId="14" fillId="0" borderId="0" xfId="0" applyFont="1" applyAlignment="1">
      <alignment horizontal="left" vertical="center" indent="1"/>
    </xf>
    <xf numFmtId="167" fontId="14" fillId="0" borderId="0" xfId="0" applyNumberFormat="1" applyFont="1" applyAlignment="1">
      <alignment horizontal="right" vertical="center" indent="1"/>
    </xf>
    <xf numFmtId="0" fontId="19" fillId="0" borderId="23" xfId="0" applyFont="1" applyBorder="1" applyAlignment="1">
      <alignment horizontal="right"/>
    </xf>
    <xf numFmtId="0" fontId="22" fillId="13" borderId="0" xfId="0" applyFont="1" applyFill="1" applyAlignment="1">
      <alignment horizontal="center" vertical="center"/>
    </xf>
    <xf numFmtId="0" fontId="22" fillId="13" borderId="25" xfId="0" applyFont="1" applyFill="1" applyBorder="1" applyAlignment="1">
      <alignment horizontal="center" vertical="center"/>
    </xf>
    <xf numFmtId="0" fontId="19" fillId="0" borderId="4" xfId="0" applyFont="1" applyBorder="1">
      <alignment wrapText="1"/>
    </xf>
    <xf numFmtId="0" fontId="19" fillId="0" borderId="0" xfId="0" applyFont="1">
      <alignment wrapText="1"/>
    </xf>
    <xf numFmtId="0" fontId="19" fillId="0" borderId="5" xfId="0" applyFont="1" applyBorder="1">
      <alignment wrapText="1"/>
    </xf>
    <xf numFmtId="0" fontId="20" fillId="0" borderId="0" xfId="0" applyFont="1">
      <alignment wrapText="1"/>
    </xf>
    <xf numFmtId="0" fontId="19" fillId="0" borderId="0" xfId="0" applyFont="1" applyAlignment="1">
      <alignment horizontal="right"/>
    </xf>
    <xf numFmtId="9" fontId="19" fillId="0" borderId="0" xfId="2" applyFont="1" applyBorder="1"/>
    <xf numFmtId="170" fontId="19" fillId="0" borderId="0" xfId="0" applyNumberFormat="1" applyFont="1">
      <alignment wrapText="1"/>
    </xf>
    <xf numFmtId="0" fontId="21" fillId="13" borderId="26" xfId="0" applyFont="1" applyFill="1" applyBorder="1" applyAlignment="1">
      <alignment horizontal="center" vertical="center"/>
    </xf>
    <xf numFmtId="0" fontId="21" fillId="13" borderId="27" xfId="0" applyFont="1" applyFill="1" applyBorder="1" applyAlignment="1">
      <alignment horizontal="center" vertical="center"/>
    </xf>
    <xf numFmtId="0" fontId="22" fillId="13" borderId="26" xfId="0" applyFont="1" applyFill="1" applyBorder="1" applyAlignment="1">
      <alignment horizontal="center" vertical="center"/>
    </xf>
    <xf numFmtId="0" fontId="22" fillId="13" borderId="4" xfId="0" applyFont="1" applyFill="1" applyBorder="1" applyAlignment="1">
      <alignment horizontal="center" vertical="center"/>
    </xf>
    <xf numFmtId="0" fontId="22" fillId="13" borderId="5" xfId="0" applyFont="1" applyFill="1" applyBorder="1" applyAlignment="1">
      <alignment horizontal="center" vertical="center"/>
    </xf>
    <xf numFmtId="0" fontId="22" fillId="13" borderId="21" xfId="0" applyFont="1" applyFill="1" applyBorder="1" applyAlignment="1">
      <alignment horizontal="center" vertical="center"/>
    </xf>
    <xf numFmtId="0" fontId="1" fillId="12" borderId="1" xfId="0" applyFont="1" applyFill="1" applyBorder="1" applyAlignment="1">
      <alignment horizontal="left" vertical="center"/>
    </xf>
    <xf numFmtId="0" fontId="1" fillId="12" borderId="3" xfId="0" applyFont="1" applyFill="1" applyBorder="1" applyAlignment="1">
      <alignment horizontal="left" vertical="center"/>
    </xf>
    <xf numFmtId="0" fontId="1" fillId="12" borderId="2" xfId="0" applyFont="1" applyFill="1" applyBorder="1" applyAlignment="1">
      <alignment horizontal="left" vertical="center"/>
    </xf>
    <xf numFmtId="0" fontId="1" fillId="12" borderId="28" xfId="0" applyFont="1" applyFill="1" applyBorder="1" applyAlignment="1">
      <alignment horizontal="left" vertical="center"/>
    </xf>
    <xf numFmtId="0" fontId="0" fillId="0" borderId="0" xfId="0" applyAlignment="1">
      <alignment vertical="center"/>
    </xf>
    <xf numFmtId="0" fontId="0" fillId="0" borderId="4" xfId="0" applyBorder="1" applyAlignment="1">
      <alignment vertical="center"/>
    </xf>
    <xf numFmtId="0" fontId="0" fillId="0" borderId="5" xfId="0" applyBorder="1" applyAlignment="1">
      <alignment vertical="center"/>
    </xf>
    <xf numFmtId="167" fontId="0" fillId="0" borderId="0" xfId="0" applyNumberFormat="1" applyAlignment="1">
      <alignment vertical="center"/>
    </xf>
    <xf numFmtId="167" fontId="0" fillId="0" borderId="5" xfId="0" applyNumberFormat="1" applyBorder="1" applyAlignment="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21" xfId="0" applyBorder="1" applyAlignment="1">
      <alignment vertical="center"/>
    </xf>
    <xf numFmtId="9" fontId="0" fillId="0" borderId="0" xfId="2" applyFont="1" applyAlignment="1">
      <alignment horizontal="center" vertical="center"/>
    </xf>
    <xf numFmtId="44" fontId="0" fillId="0" borderId="0" xfId="1" applyFont="1" applyAlignment="1">
      <alignment horizontal="center" vertical="center"/>
    </xf>
    <xf numFmtId="44" fontId="11" fillId="16" borderId="10" xfId="1" applyFont="1" applyFill="1" applyBorder="1"/>
    <xf numFmtId="44" fontId="11" fillId="15" borderId="10" xfId="1" applyFont="1" applyFill="1" applyBorder="1"/>
    <xf numFmtId="0" fontId="11" fillId="17" borderId="10" xfId="0" applyFont="1" applyFill="1" applyBorder="1" applyAlignment="1">
      <alignment horizontal="left" indent="1"/>
    </xf>
    <xf numFmtId="0" fontId="0" fillId="0" borderId="29" xfId="0" applyBorder="1">
      <alignment wrapText="1"/>
    </xf>
    <xf numFmtId="0" fontId="0" fillId="0" borderId="25" xfId="0" applyBorder="1">
      <alignment wrapText="1"/>
    </xf>
    <xf numFmtId="0" fontId="0" fillId="0" borderId="30" xfId="0" applyBorder="1">
      <alignment wrapText="1"/>
    </xf>
    <xf numFmtId="0" fontId="0" fillId="0" borderId="24" xfId="0" applyBorder="1">
      <alignment wrapText="1"/>
    </xf>
    <xf numFmtId="0" fontId="0" fillId="0" borderId="19" xfId="0" applyBorder="1">
      <alignment wrapText="1"/>
    </xf>
    <xf numFmtId="0" fontId="0" fillId="0" borderId="31" xfId="0" applyBorder="1">
      <alignment wrapText="1"/>
    </xf>
    <xf numFmtId="0" fontId="0" fillId="0" borderId="32" xfId="0" applyBorder="1">
      <alignment wrapText="1"/>
    </xf>
    <xf numFmtId="0" fontId="0" fillId="0" borderId="33" xfId="0" applyBorder="1">
      <alignment wrapText="1"/>
    </xf>
    <xf numFmtId="0" fontId="0" fillId="0" borderId="34" xfId="0" applyBorder="1">
      <alignment wrapText="1"/>
    </xf>
    <xf numFmtId="0" fontId="2" fillId="0" borderId="34" xfId="0" applyFont="1" applyBorder="1">
      <alignment wrapText="1"/>
    </xf>
    <xf numFmtId="0" fontId="20" fillId="0" borderId="32" xfId="0" applyFont="1" applyBorder="1" applyAlignment="1">
      <alignment horizontal="center"/>
    </xf>
    <xf numFmtId="0" fontId="19" fillId="0" borderId="0" xfId="0" applyFont="1" applyAlignment="1">
      <alignment horizontal="center"/>
    </xf>
    <xf numFmtId="170" fontId="19" fillId="0" borderId="0" xfId="1" applyNumberFormat="1" applyFont="1" applyAlignment="1">
      <alignment horizontal="center"/>
    </xf>
    <xf numFmtId="0" fontId="19" fillId="0" borderId="35" xfId="0" applyFont="1" applyBorder="1" applyAlignment="1">
      <alignment horizontal="center"/>
    </xf>
    <xf numFmtId="0" fontId="20" fillId="0" borderId="35" xfId="0" applyFont="1" applyBorder="1" applyAlignment="1">
      <alignment horizontal="center"/>
    </xf>
    <xf numFmtId="170" fontId="20" fillId="0" borderId="35" xfId="1" applyNumberFormat="1" applyFont="1" applyBorder="1" applyAlignment="1">
      <alignment horizontal="center"/>
    </xf>
    <xf numFmtId="0" fontId="19" fillId="0" borderId="36" xfId="0" applyFont="1" applyBorder="1" applyAlignment="1">
      <alignment horizontal="center"/>
    </xf>
    <xf numFmtId="0" fontId="23" fillId="0" borderId="0" xfId="0" applyFont="1" applyAlignment="1">
      <alignment horizontal="left" indent="1"/>
    </xf>
    <xf numFmtId="44" fontId="23" fillId="0" borderId="0" xfId="0" applyNumberFormat="1" applyFont="1" applyAlignment="1">
      <alignment horizontal="center"/>
    </xf>
    <xf numFmtId="0" fontId="24" fillId="0" borderId="37" xfId="0" applyFont="1" applyBorder="1" applyAlignment="1">
      <alignment horizontal="left" indent="1"/>
    </xf>
    <xf numFmtId="44" fontId="24" fillId="0" borderId="37" xfId="0" applyNumberFormat="1" applyFont="1" applyBorder="1" applyAlignment="1">
      <alignment horizontal="center"/>
    </xf>
    <xf numFmtId="170" fontId="20" fillId="0" borderId="0" xfId="1" applyNumberFormat="1" applyFont="1" applyBorder="1" applyAlignment="1">
      <alignment horizontal="center"/>
    </xf>
    <xf numFmtId="170" fontId="19" fillId="0" borderId="36" xfId="0" applyNumberFormat="1" applyFont="1" applyBorder="1" applyAlignment="1">
      <alignment horizontal="center"/>
    </xf>
    <xf numFmtId="0" fontId="19" fillId="0" borderId="38" xfId="0" applyFont="1" applyBorder="1">
      <alignment wrapText="1"/>
    </xf>
    <xf numFmtId="0" fontId="20" fillId="0" borderId="32" xfId="0" applyFont="1" applyBorder="1" applyAlignment="1">
      <alignment horizontal="center" vertical="center"/>
    </xf>
    <xf numFmtId="0" fontId="26" fillId="0" borderId="32" xfId="0" applyFont="1" applyBorder="1" applyAlignment="1">
      <alignment horizontal="center" vertical="center"/>
    </xf>
    <xf numFmtId="171" fontId="19" fillId="0" borderId="0" xfId="0" applyNumberFormat="1" applyFont="1" applyAlignment="1">
      <alignment horizontal="center"/>
    </xf>
    <xf numFmtId="171" fontId="27" fillId="0" borderId="0" xfId="0" applyNumberFormat="1" applyFont="1" applyAlignment="1">
      <alignment horizontal="center" vertical="center"/>
    </xf>
    <xf numFmtId="0" fontId="19" fillId="0" borderId="32" xfId="0" applyFont="1" applyBorder="1" applyAlignment="1">
      <alignment horizontal="center"/>
    </xf>
    <xf numFmtId="0" fontId="28" fillId="0" borderId="38" xfId="0" applyFont="1" applyBorder="1">
      <alignment wrapText="1"/>
    </xf>
    <xf numFmtId="0" fontId="2" fillId="0" borderId="0" xfId="0" applyFont="1">
      <alignment wrapText="1"/>
    </xf>
    <xf numFmtId="0" fontId="0" fillId="19" borderId="0" xfId="0" applyFill="1" applyAlignment="1">
      <alignment vertical="center"/>
    </xf>
    <xf numFmtId="9" fontId="0" fillId="0" borderId="0" xfId="2" applyFont="1"/>
    <xf numFmtId="0" fontId="0" fillId="0" borderId="0" xfId="0" applyAlignment="1">
      <alignment horizontal="left"/>
    </xf>
    <xf numFmtId="0" fontId="0" fillId="13" borderId="0" xfId="0" applyFill="1">
      <alignment wrapText="1"/>
    </xf>
    <xf numFmtId="0" fontId="2" fillId="0" borderId="0" xfId="0" applyFont="1" applyAlignment="1">
      <alignment horizontal="center"/>
    </xf>
    <xf numFmtId="0" fontId="0" fillId="3" borderId="0" xfId="0" applyFill="1" applyAlignment="1">
      <alignment horizontal="center" vertical="center"/>
    </xf>
    <xf numFmtId="0" fontId="0" fillId="3" borderId="0" xfId="0" applyFill="1" applyAlignment="1">
      <alignment horizontal="center" vertical="center"/>
      <extLst>
        <ext xmlns:xfpb="http://schemas.microsoft.com/office/spreadsheetml/2022/featurepropertybag" uri="{C7286773-470A-42A8-94C5-96B5CB345126}">
          <xfpb:xfComplement i="0"/>
        </ext>
      </extLst>
    </xf>
    <xf numFmtId="1" fontId="0" fillId="3" borderId="0" xfId="0" applyNumberFormat="1" applyFill="1" applyAlignment="1">
      <alignment horizontal="center" vertical="center"/>
    </xf>
    <xf numFmtId="0" fontId="0" fillId="0" borderId="0" xfId="0" pivotButton="1">
      <alignment wrapText="1"/>
    </xf>
    <xf numFmtId="0" fontId="4" fillId="2" borderId="0" xfId="0" applyFont="1" applyFill="1" applyAlignment="1">
      <alignment horizontal="left"/>
    </xf>
    <xf numFmtId="0" fontId="15" fillId="0" borderId="0" xfId="0" applyFont="1" applyAlignment="1">
      <alignment horizontal="left" vertical="center" indent="1"/>
    </xf>
    <xf numFmtId="0" fontId="0" fillId="0" borderId="0" xfId="0" applyAlignment="1">
      <alignment horizontal="left" wrapText="1"/>
    </xf>
    <xf numFmtId="0" fontId="14" fillId="0" borderId="0" xfId="0" applyFont="1" applyAlignment="1"/>
    <xf numFmtId="0" fontId="13" fillId="2" borderId="0" xfId="0" applyFont="1" applyFill="1" applyAlignment="1">
      <alignment horizontal="left" vertical="center"/>
    </xf>
    <xf numFmtId="0" fontId="7" fillId="4" borderId="0" xfId="0" applyFont="1" applyFill="1" applyAlignment="1">
      <alignment horizontal="center"/>
    </xf>
    <xf numFmtId="0" fontId="3" fillId="2" borderId="0" xfId="0" applyFont="1" applyFill="1" applyAlignment="1">
      <alignment horizontal="left"/>
    </xf>
    <xf numFmtId="0" fontId="4" fillId="2" borderId="0" xfId="0" applyFont="1" applyFill="1" applyAlignment="1">
      <alignment horizontal="left"/>
    </xf>
    <xf numFmtId="0" fontId="3" fillId="2" borderId="0" xfId="0" applyFont="1" applyFill="1" applyAlignment="1">
      <alignment horizontal="center"/>
    </xf>
    <xf numFmtId="0" fontId="1" fillId="10" borderId="12" xfId="0" applyFont="1" applyFill="1" applyBorder="1" applyAlignment="1">
      <alignment horizontal="center" vertical="center"/>
    </xf>
    <xf numFmtId="0" fontId="1" fillId="10" borderId="13" xfId="0" applyFont="1" applyFill="1" applyBorder="1" applyAlignment="1">
      <alignment horizontal="center" vertical="center"/>
    </xf>
    <xf numFmtId="0" fontId="1" fillId="10" borderId="14" xfId="0" applyFont="1" applyFill="1" applyBorder="1" applyAlignment="1">
      <alignment horizontal="center" vertical="center"/>
    </xf>
    <xf numFmtId="164" fontId="19" fillId="0" borderId="25" xfId="0" applyNumberFormat="1" applyFont="1" applyBorder="1" applyAlignment="1">
      <alignment horizontal="center" vertical="center"/>
    </xf>
    <xf numFmtId="164" fontId="19" fillId="0" borderId="0" xfId="0" applyNumberFormat="1" applyFont="1" applyAlignment="1">
      <alignment horizontal="center" vertical="center"/>
    </xf>
    <xf numFmtId="164" fontId="19" fillId="0" borderId="32" xfId="0" applyNumberFormat="1" applyFont="1" applyBorder="1" applyAlignment="1">
      <alignment horizontal="center" vertical="center"/>
    </xf>
    <xf numFmtId="0" fontId="1" fillId="10" borderId="12" xfId="0" applyFont="1" applyFill="1" applyBorder="1" applyAlignment="1">
      <alignment horizontal="left" vertical="center" indent="1"/>
    </xf>
    <xf numFmtId="0" fontId="1" fillId="10" borderId="13" xfId="0" applyFont="1" applyFill="1" applyBorder="1" applyAlignment="1">
      <alignment horizontal="left" vertical="center" indent="1"/>
    </xf>
    <xf numFmtId="0" fontId="1" fillId="10" borderId="14" xfId="0" applyFont="1" applyFill="1" applyBorder="1" applyAlignment="1">
      <alignment horizontal="left" vertical="center" indent="1"/>
    </xf>
    <xf numFmtId="0" fontId="25" fillId="18" borderId="0" xfId="0" applyFont="1" applyFill="1" applyAlignment="1">
      <alignment horizontal="center" vertical="center"/>
    </xf>
    <xf numFmtId="0" fontId="26" fillId="4" borderId="0" xfId="0" applyFont="1" applyFill="1" applyAlignment="1">
      <alignment horizontal="center" vertical="center"/>
    </xf>
    <xf numFmtId="0" fontId="10" fillId="0" borderId="0" xfId="0" applyFont="1" applyAlignment="1">
      <alignment horizontal="left" vertical="top" wrapText="1"/>
    </xf>
    <xf numFmtId="0" fontId="1" fillId="2" borderId="1" xfId="0" applyFont="1"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10" fillId="0" borderId="0" xfId="0" applyFont="1" applyAlignment="1">
      <alignment horizontal="left" wrapText="1"/>
    </xf>
    <xf numFmtId="0" fontId="1" fillId="12" borderId="0" xfId="0" applyFont="1" applyFill="1" applyAlignment="1">
      <alignment horizontal="center" vertical="center"/>
    </xf>
    <xf numFmtId="0" fontId="17" fillId="0" borderId="15" xfId="0" applyFont="1" applyBorder="1" applyAlignment="1">
      <alignment horizontal="center" vertical="center"/>
    </xf>
    <xf numFmtId="0" fontId="17" fillId="0" borderId="16" xfId="0" applyFont="1" applyBorder="1" applyAlignment="1">
      <alignment horizontal="center" vertical="center"/>
    </xf>
    <xf numFmtId="0" fontId="0" fillId="14" borderId="17" xfId="0" applyFill="1" applyBorder="1" applyAlignment="1">
      <alignment horizontal="center" vertical="center"/>
    </xf>
    <xf numFmtId="0" fontId="0" fillId="14" borderId="18" xfId="0" applyFill="1" applyBorder="1" applyAlignment="1">
      <alignment horizontal="center" vertical="center"/>
    </xf>
    <xf numFmtId="0" fontId="18" fillId="0" borderId="0" xfId="0" applyFont="1" applyAlignment="1">
      <alignment horizontal="center"/>
    </xf>
    <xf numFmtId="0" fontId="18" fillId="0" borderId="19" xfId="0" applyFont="1" applyBorder="1" applyAlignment="1">
      <alignment horizontal="center"/>
    </xf>
    <xf numFmtId="169" fontId="0" fillId="14" borderId="17" xfId="0" applyNumberFormat="1" applyFill="1" applyBorder="1" applyAlignment="1">
      <alignment horizontal="center" vertical="center"/>
    </xf>
    <xf numFmtId="169" fontId="0" fillId="14" borderId="18" xfId="0" applyNumberFormat="1" applyFill="1" applyBorder="1" applyAlignment="1">
      <alignment horizontal="center" vertical="center"/>
    </xf>
    <xf numFmtId="0" fontId="0" fillId="0" borderId="0" xfId="0" applyNumberFormat="1">
      <alignment wrapText="1"/>
    </xf>
  </cellXfs>
  <cellStyles count="3">
    <cellStyle name="Prozent" xfId="2" builtinId="5"/>
    <cellStyle name="Standard" xfId="0" builtinId="0" customBuiltin="1"/>
    <cellStyle name="Währung" xfId="1" builtinId="4"/>
  </cellStyles>
  <dxfs count="100">
    <dxf>
      <fill>
        <patternFill>
          <bgColor theme="0" tint="-0.24994659260841701"/>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7" tint="-0.499984740745262"/>
        </patternFill>
      </fill>
    </dxf>
    <dxf>
      <fill>
        <patternFill>
          <bgColor theme="0" tint="-0.24994659260841701"/>
        </patternFill>
      </fill>
    </dxf>
    <dxf>
      <fill>
        <patternFill>
          <bgColor rgb="FFFF9B9B"/>
        </patternFill>
      </fill>
    </dxf>
    <dxf>
      <fill>
        <patternFill>
          <bgColor rgb="FFFF6565"/>
        </patternFill>
      </fill>
    </dxf>
    <dxf>
      <fill>
        <patternFill>
          <bgColor rgb="FFFF0000"/>
        </patternFill>
      </fill>
    </dxf>
    <dxf>
      <fill>
        <patternFill>
          <bgColor rgb="FFD20000"/>
        </patternFill>
      </fill>
    </dxf>
    <dxf>
      <fill>
        <patternFill>
          <bgColor rgb="FF920000"/>
        </patternFill>
      </fill>
    </dxf>
    <dxf>
      <fill>
        <patternFill>
          <bgColor theme="0" tint="-0.24994659260841701"/>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5" tint="-0.499984740745262"/>
        </patternFill>
      </fill>
    </dxf>
    <dxf>
      <fill>
        <patternFill>
          <bgColor theme="0" tint="-0.24994659260841701"/>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499984740745262"/>
        </patternFill>
      </fill>
    </dxf>
    <dxf>
      <font>
        <b/>
        <i val="0"/>
      </font>
      <border>
        <top style="thin">
          <color auto="1"/>
        </top>
        <vertical/>
        <horizontal/>
      </border>
    </dxf>
    <dxf>
      <font>
        <b/>
        <i val="0"/>
        <color theme="0"/>
      </font>
      <fill>
        <patternFill>
          <bgColor rgb="FF00B0F0"/>
        </patternFill>
      </fill>
    </dxf>
    <dxf>
      <font>
        <b/>
        <i val="0"/>
        <color theme="0"/>
      </font>
      <fill>
        <patternFill>
          <bgColor rgb="FFFF731D"/>
        </patternFill>
      </fill>
    </dxf>
    <dxf>
      <font>
        <b/>
        <i val="0"/>
        <color theme="0"/>
      </font>
      <fill>
        <patternFill>
          <bgColor rgb="FFC00000"/>
        </patternFill>
      </fill>
    </dxf>
    <dxf>
      <font>
        <b/>
        <i val="0"/>
        <color theme="0"/>
      </font>
      <fill>
        <patternFill>
          <bgColor rgb="FF3C7D22"/>
        </patternFill>
      </fill>
    </dxf>
    <dxf>
      <font>
        <b/>
        <i val="0"/>
        <color theme="1"/>
      </font>
      <numFmt numFmtId="172" formatCode="\→\ \ dd/\ mmm\ yy"/>
    </dxf>
    <dxf>
      <font>
        <b/>
        <i val="0"/>
        <color theme="9"/>
      </font>
      <numFmt numFmtId="167" formatCode="#,##0.00\ &quot;€&quot;"/>
    </dxf>
    <dxf>
      <font>
        <b/>
        <i val="0"/>
        <strike val="0"/>
        <color rgb="FFFF0000"/>
      </font>
      <numFmt numFmtId="167" formatCode="#,##0.00\ &quot;€&quot;"/>
    </dxf>
    <dxf>
      <font>
        <b/>
        <i val="0"/>
        <strike val="0"/>
        <color theme="5"/>
      </font>
      <numFmt numFmtId="167" formatCode="#,##0.00\ &quot;€&quot;"/>
    </dxf>
    <dxf>
      <font>
        <b/>
        <i val="0"/>
        <strike val="0"/>
        <color rgb="FF00B0F0"/>
      </font>
      <numFmt numFmtId="167" formatCode="#,##0.00\ &quot;€&quot;"/>
    </dxf>
    <dxf>
      <numFmt numFmtId="173" formatCode="\-#,##0.00\ &quot;€&quot;;\-#,##0.00\ &quot;€&quot;"/>
    </dxf>
    <dxf>
      <font>
        <color rgb="FFFF0000"/>
      </font>
    </dxf>
    <dxf>
      <font>
        <color rgb="FFFF0000"/>
      </font>
    </dxf>
    <dxf>
      <font>
        <color rgb="FF92D050"/>
      </font>
    </dxf>
    <dxf>
      <font>
        <color theme="0" tint="-0.499984740745262"/>
      </font>
    </dxf>
    <dxf>
      <font>
        <color theme="1"/>
      </font>
      <fill>
        <patternFill>
          <bgColor rgb="FFCAE9F6"/>
        </patternFill>
      </fill>
    </dxf>
    <dxf>
      <font>
        <color theme="1"/>
      </font>
      <fill>
        <patternFill>
          <bgColor rgb="FFFFBDBD"/>
        </patternFill>
      </fill>
    </dxf>
    <dxf>
      <font>
        <color theme="1"/>
      </font>
      <fill>
        <patternFill>
          <bgColor theme="9" tint="0.59996337778862885"/>
        </patternFill>
      </fill>
    </dxf>
    <dxf>
      <font>
        <color theme="1"/>
      </font>
      <fill>
        <patternFill>
          <bgColor rgb="FFCAE9F6"/>
        </patternFill>
      </fill>
    </dxf>
    <dxf>
      <font>
        <color theme="1"/>
      </font>
      <fill>
        <patternFill>
          <bgColor rgb="FFFFD7AF"/>
        </patternFill>
      </fill>
    </dxf>
    <dxf>
      <font>
        <color theme="1"/>
      </font>
      <fill>
        <patternFill>
          <bgColor rgb="FFFFBDBD"/>
        </patternFill>
      </fill>
    </dxf>
    <dxf>
      <font>
        <color theme="1"/>
      </font>
      <fill>
        <patternFill>
          <bgColor theme="9" tint="0.59996337778862885"/>
        </patternFill>
      </fill>
    </dxf>
    <dxf>
      <font>
        <strike val="0"/>
        <color theme="2" tint="-0.24994659260841701"/>
      </font>
    </dxf>
    <dxf>
      <font>
        <strike val="0"/>
        <color theme="2" tint="-0.24994659260841701"/>
      </font>
    </dxf>
    <dxf>
      <font>
        <color theme="1"/>
      </font>
      <fill>
        <patternFill>
          <bgColor theme="9" tint="0.59996337778862885"/>
        </patternFill>
      </fill>
    </dxf>
    <dxf>
      <font>
        <color theme="1"/>
      </font>
      <fill>
        <patternFill>
          <bgColor rgb="FFFFBDBD"/>
        </patternFill>
      </fill>
    </dxf>
    <dxf>
      <font>
        <color theme="1"/>
      </font>
      <fill>
        <patternFill>
          <bgColor rgb="FFCAE9F6"/>
        </patternFill>
      </fill>
    </dxf>
    <dxf>
      <font>
        <strike val="0"/>
        <outline val="0"/>
        <shadow val="0"/>
        <u val="none"/>
        <vertAlign val="baseline"/>
        <sz val="12"/>
        <color theme="1" tint="0.499984740745262"/>
        <name val="Aptos Narrow"/>
        <family val="2"/>
        <scheme val="minor"/>
      </font>
      <numFmt numFmtId="20" formatCode="dd/\ mmm\ yy"/>
      <alignment horizontal="right" vertical="bottom" textRotation="0" wrapText="0" indent="1" justifyLastLine="0" shrinkToFit="0" readingOrder="0"/>
    </dxf>
    <dxf>
      <font>
        <strike val="0"/>
        <outline val="0"/>
        <shadow val="0"/>
        <u val="none"/>
        <vertAlign val="baseline"/>
        <sz val="12"/>
        <color theme="1" tint="0.499984740745262"/>
        <name val="Aptos Narrow"/>
        <family val="2"/>
        <scheme val="minor"/>
      </font>
      <numFmt numFmtId="167" formatCode="#,##0.00\ &quot;€&quot;"/>
      <alignment horizontal="right" vertical="bottom" textRotation="0" wrapText="0" indent="1" justifyLastLine="0" shrinkToFit="0" readingOrder="0"/>
    </dxf>
    <dxf>
      <font>
        <i/>
        <strike val="0"/>
        <outline val="0"/>
        <shadow val="0"/>
        <u val="none"/>
        <vertAlign val="baseline"/>
        <sz val="12"/>
        <name val="Aptos Narrow"/>
        <family val="2"/>
        <scheme val="minor"/>
      </font>
      <alignment horizontal="left" vertical="center" textRotation="0" wrapText="0" indent="1" justifyLastLine="0" shrinkToFit="0" readingOrder="0"/>
    </dxf>
    <dxf>
      <font>
        <b val="0"/>
        <i val="0"/>
        <strike val="0"/>
        <condense val="0"/>
        <extend val="0"/>
        <outline val="0"/>
        <shadow val="0"/>
        <u val="none"/>
        <vertAlign val="baseline"/>
        <sz val="12"/>
        <color theme="1"/>
        <name val="Aptos Narrow"/>
        <family val="2"/>
        <scheme val="minor"/>
      </font>
      <numFmt numFmtId="167" formatCode="#,##0.00\ &quot;€&quot;"/>
      <alignment horizontal="right" vertical="center" textRotation="0" wrapText="0" indent="1" justifyLastLine="0" shrinkToFit="0" readingOrder="0"/>
    </dxf>
    <dxf>
      <font>
        <strike val="0"/>
        <outline val="0"/>
        <shadow val="0"/>
        <u val="none"/>
        <vertAlign val="baseline"/>
        <sz val="12"/>
        <color theme="1"/>
        <name val="Aptos Narrow"/>
        <family val="2"/>
        <scheme val="minor"/>
      </font>
      <numFmt numFmtId="167" formatCode="#,##0.00\ &quot;€&quot;"/>
      <alignment horizontal="right" vertical="center" textRotation="0" wrapText="0" indent="1" justifyLastLine="0" shrinkToFit="0" readingOrder="0"/>
    </dxf>
    <dxf>
      <font>
        <strike val="0"/>
        <outline val="0"/>
        <shadow val="0"/>
        <u val="none"/>
        <vertAlign val="baseline"/>
        <sz val="12"/>
        <name val="Aptos Narrow"/>
        <family val="2"/>
        <scheme val="minor"/>
      </font>
      <alignment horizontal="left" vertical="center" textRotation="0" wrapText="0" indent="1" justifyLastLine="0" shrinkToFit="0" readingOrder="0"/>
    </dxf>
    <dxf>
      <font>
        <strike val="0"/>
        <outline val="0"/>
        <shadow val="0"/>
        <u val="none"/>
        <vertAlign val="baseline"/>
        <sz val="12"/>
        <name val="Aptos Narrow"/>
        <family val="2"/>
        <scheme val="minor"/>
      </font>
      <alignment horizontal="left" vertical="center" textRotation="0" wrapText="0" indent="0" justifyLastLine="0" shrinkToFit="0" readingOrder="0"/>
    </dxf>
    <dxf>
      <font>
        <strike val="0"/>
        <outline val="0"/>
        <shadow val="0"/>
        <u val="none"/>
        <vertAlign val="baseline"/>
        <sz val="12"/>
        <name val="Aptos Narrow"/>
        <family val="2"/>
        <scheme val="minor"/>
      </font>
      <alignment horizontal="general" vertical="bottom" textRotation="0" wrapText="0" indent="0" justifyLastLine="0" shrinkToFit="0" readingOrder="0"/>
    </dxf>
    <dxf>
      <font>
        <strike val="0"/>
        <outline val="0"/>
        <shadow val="0"/>
        <u val="none"/>
        <vertAlign val="baseline"/>
        <sz val="12"/>
        <name val="Aptos Narrow"/>
        <family val="2"/>
        <scheme val="minor"/>
      </font>
      <numFmt numFmtId="166" formatCode="dd/\ mmm\ yyyy"/>
      <alignment horizontal="left" vertical="center" textRotation="0" wrapText="0" indent="0" justifyLastLine="0" shrinkToFit="0" readingOrder="0"/>
    </dxf>
    <dxf>
      <font>
        <strike val="0"/>
        <outline val="0"/>
        <shadow val="0"/>
        <u val="none"/>
        <vertAlign val="baseline"/>
        <sz val="12"/>
        <name val="Aptos Narrow"/>
        <family val="2"/>
        <scheme val="minor"/>
      </font>
      <alignment horizontal="left" vertical="bottom" textRotation="0" wrapText="0" relativeIndent="1" justifyLastLine="0" shrinkToFit="0" readingOrder="0"/>
    </dxf>
    <dxf>
      <alignment horizontal="left" vertical="center" textRotation="0" wrapText="0" relativeIndent="1"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ill>
        <patternFill patternType="solid">
          <fgColor indexed="64"/>
          <bgColor rgb="FF00B0F0"/>
        </patternFill>
      </fill>
      <alignment horizontal="left" vertical="bottom" textRotation="0" wrapText="0" relative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ill>
        <patternFill patternType="solid">
          <fgColor indexed="64"/>
          <bgColor rgb="FFFF731D"/>
        </patternFill>
      </fill>
      <alignment horizontal="left" vertical="bottom" textRotation="0" wrapText="0" relative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rgb="FFC00000"/>
        </patternFill>
      </fill>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1"/>
        <color theme="0" tint="-0.499984740745262"/>
        <name val="Aptos Narrow"/>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theme="9" tint="-0.249977111117893"/>
        </patternFill>
      </fill>
      <alignment horizontal="left" vertical="bottom" textRotation="0" wrapText="0" indent="1" justifyLastLine="0" shrinkToFit="0" readingOrder="0"/>
    </dxf>
    <dxf>
      <font>
        <b/>
        <i val="0"/>
        <color theme="0"/>
      </font>
      <fill>
        <patternFill>
          <bgColor rgb="FFFFC000"/>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ill>
        <patternFill>
          <bgColor theme="0" tint="-0.14996795556505021"/>
        </patternFill>
      </fill>
    </dxf>
    <dxf>
      <font>
        <b/>
        <i val="0"/>
        <color theme="0"/>
      </font>
      <fill>
        <patternFill>
          <bgColor theme="1" tint="0.2499465926084170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theme="0" tint="-0.34998626667073579"/>
        </bottom>
        <vertical/>
        <horizontal/>
      </border>
    </dxf>
    <dxf>
      <font>
        <color theme="1"/>
      </font>
      <fill>
        <patternFill patternType="none">
          <bgColor auto="1"/>
        </patternFill>
      </fill>
      <border diagonalUp="0" diagonalDown="0">
        <left/>
        <right/>
        <top/>
        <bottom/>
        <vertical/>
        <horizontal/>
      </border>
    </dxf>
    <dxf>
      <font>
        <b/>
        <i val="0"/>
        <color theme="0"/>
      </font>
      <fill>
        <patternFill>
          <bgColor theme="7"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i val="0"/>
        <color theme="0"/>
      </font>
      <fill>
        <patternFill>
          <bgColor rgb="FFFF1919"/>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i val="0"/>
        <color theme="0"/>
      </font>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vertical/>
        <horizontal/>
      </border>
    </dxf>
  </dxfs>
  <tableStyles count="7" defaultTableStyle="TableStyleMedium2" defaultPivotStyle="PivotStyleLight16">
    <tableStyle name="Datenschnittformat 1" pivot="0" table="0" count="2" xr9:uid="{9947A0E4-E355-4799-B4C5-981E89609645}">
      <tableStyleElement type="wholeTable" dxfId="99"/>
    </tableStyle>
    <tableStyle name="Einkommenstabelle Style" pivot="0" count="2" xr9:uid="{813DAE32-77E4-4C1C-A022-ABAD1A90C4F9}">
      <tableStyleElement type="wholeTable" dxfId="98"/>
      <tableStyleElement type="headerRow" dxfId="97"/>
    </tableStyle>
    <tableStyle name="Fixkostentabelle Style " pivot="0" count="2" xr9:uid="{93421A66-C3EE-4CE6-AF19-961E53A7F177}">
      <tableStyleElement type="wholeTable" dxfId="96"/>
      <tableStyleElement type="headerRow" dxfId="95"/>
    </tableStyle>
    <tableStyle name="Investmenttabelle Style  " pivot="0" count="2" xr9:uid="{9268BD7B-D251-4161-BC7D-110338E0A0D0}">
      <tableStyleElement type="wholeTable" dxfId="94"/>
      <tableStyleElement type="headerRow" dxfId="93"/>
    </tableStyle>
    <tableStyle name="SlicerStyleOther1 2" pivot="0" table="0" count="10" xr9:uid="{F0CA09B4-00A4-4DF3-A28A-BE7F321AD19D}">
      <tableStyleElement type="wholeTable" dxfId="92"/>
      <tableStyleElement type="headerRow" dxfId="91"/>
    </tableStyle>
    <tableStyle name="Tracking Table Style" pivot="0" count="3" xr9:uid="{0B042EC5-2104-478B-AFF1-9AFEDB5C9CA2}">
      <tableStyleElement type="wholeTable" dxfId="90"/>
      <tableStyleElement type="headerRow" dxfId="89"/>
      <tableStyleElement type="firstRowStripe" dxfId="88"/>
    </tableStyle>
    <tableStyle name="Variablekostentabelle Style " pivot="0" count="2" xr9:uid="{A071CE06-6C01-43CC-93A3-63EE6F1CFC65}">
      <tableStyleElement type="wholeTable" dxfId="87"/>
      <tableStyleElement type="headerRow" dxfId="86"/>
    </tableStyle>
  </tableStyles>
  <colors>
    <mruColors>
      <color rgb="FFFF0000"/>
      <color rgb="FFFF9B9B"/>
      <color rgb="FFD20000"/>
      <color rgb="FFD1D1D1"/>
      <color rgb="FFE2E2E2"/>
      <color rgb="FFEEEEEE"/>
      <color rgb="FFFF6565"/>
      <color rgb="FF920000"/>
      <color rgb="FFC00000"/>
      <color rgb="FF3C7D22"/>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ill>
            <patternFill>
              <bgColor theme="0" tint="-0.24994659260841701"/>
            </patternFill>
          </fill>
        </dxf>
      </x14:dxfs>
    </ext>
    <ext xmlns:x14="http://schemas.microsoft.com/office/spreadsheetml/2009/9/main" uri="{EB79DEF2-80B8-43e5-95BD-54CBDDF9020C}">
      <x14:slicerStyles defaultSlicerStyle="SlicerStyleLight1">
        <x14:slicerStyle name="Datenschnittformat 1">
          <x14:slicerStyleElements>
            <x14:slicerStyleElement type="selectedItemWithData" dxfId="8"/>
          </x14:slicerStyleElements>
        </x14:slicerStyle>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1-E6F8-4396-8CAF-7F2F5802A43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E6F8-4396-8CAF-7F2F5802A43E}"/>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E6F8-4396-8CAF-7F2F5802A43E}"/>
              </c:ext>
            </c:extLst>
          </c:dPt>
          <c:dPt>
            <c:idx val="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7-E6F8-4396-8CAF-7F2F5802A43E}"/>
              </c:ext>
            </c:extLst>
          </c:dPt>
          <c:dPt>
            <c:idx val="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9-E6F8-4396-8CAF-7F2F5802A43E}"/>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E6F8-4396-8CAF-7F2F5802A43E}"/>
              </c:ext>
            </c:extLst>
          </c:dPt>
          <c:cat>
            <c:strRef>
              <c:f>Calculations!$D$34:$D$39</c:f>
              <c:strCache>
                <c:ptCount val="6"/>
                <c:pt idx="0">
                  <c:v>#NV</c:v>
                </c:pt>
                <c:pt idx="1">
                  <c:v>#NV</c:v>
                </c:pt>
                <c:pt idx="2">
                  <c:v>#NV</c:v>
                </c:pt>
                <c:pt idx="5">
                  <c:v>#NV</c:v>
                </c:pt>
              </c:strCache>
            </c:strRef>
          </c:cat>
          <c:val>
            <c:numRef>
              <c:f>Calculations!$E$34:$E$39</c:f>
              <c:numCache>
                <c:formatCode>_-* #,##0\ "€"_-;\-* #,##0\ "€"_-;_-* "-"??\ "€"_-;_-@_-</c:formatCode>
                <c:ptCount val="6"/>
                <c:pt idx="0">
                  <c:v>#N/A</c:v>
                </c:pt>
                <c:pt idx="1">
                  <c:v>#N/A</c:v>
                </c:pt>
                <c:pt idx="2">
                  <c:v>#N/A</c:v>
                </c:pt>
                <c:pt idx="3">
                  <c:v>0</c:v>
                </c:pt>
                <c:pt idx="4">
                  <c:v>0</c:v>
                </c:pt>
                <c:pt idx="5">
                  <c:v>#N/A</c:v>
                </c:pt>
              </c:numCache>
            </c:numRef>
          </c:val>
          <c:extLst>
            <c:ext xmlns:c16="http://schemas.microsoft.com/office/drawing/2014/chart" uri="{C3380CC4-5D6E-409C-BE32-E72D297353CC}">
              <c16:uniqueId val="{0000000C-E6F8-4396-8CAF-7F2F5802A43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1-DBE5-4411-A16A-81DB9C61EEB5}"/>
              </c:ext>
            </c:extLst>
          </c:dPt>
          <c:dPt>
            <c:idx val="1"/>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3-DBE5-4411-A16A-81DB9C61EEB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DBE5-4411-A16A-81DB9C61EEB5}"/>
              </c:ext>
            </c:extLst>
          </c:dPt>
          <c:dPt>
            <c:idx val="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7-DBE5-4411-A16A-81DB9C61EEB5}"/>
              </c:ext>
            </c:extLst>
          </c:dPt>
          <c:dPt>
            <c:idx val="4"/>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9-DBE5-4411-A16A-81DB9C61EEB5}"/>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DBE5-4411-A16A-81DB9C61EEB5}"/>
              </c:ext>
            </c:extLst>
          </c:dPt>
          <c:cat>
            <c:strRef>
              <c:f>Calculations!$L$34:$L$39</c:f>
              <c:strCache>
                <c:ptCount val="5"/>
                <c:pt idx="0">
                  <c:v>#NV</c:v>
                </c:pt>
                <c:pt idx="1">
                  <c:v>#NV</c:v>
                </c:pt>
                <c:pt idx="2">
                  <c:v>#NV</c:v>
                </c:pt>
                <c:pt idx="3">
                  <c:v>#NV</c:v>
                </c:pt>
                <c:pt idx="4">
                  <c:v>#NV</c:v>
                </c:pt>
              </c:strCache>
            </c:strRef>
          </c:cat>
          <c:val>
            <c:numRef>
              <c:f>Calculations!$M$34:$M$39</c:f>
              <c:numCache>
                <c:formatCode>_-* #,##0\ "€"_-;\-* #,##0\ "€"_-;_-* "-"??\ "€"_-;_-@_-</c:formatCode>
                <c:ptCount val="6"/>
                <c:pt idx="0">
                  <c:v>#N/A</c:v>
                </c:pt>
                <c:pt idx="1">
                  <c:v>#N/A</c:v>
                </c:pt>
                <c:pt idx="2">
                  <c:v>#N/A</c:v>
                </c:pt>
                <c:pt idx="3">
                  <c:v>#N/A</c:v>
                </c:pt>
                <c:pt idx="4">
                  <c:v>#N/A</c:v>
                </c:pt>
                <c:pt idx="5" formatCode="General">
                  <c:v>0</c:v>
                </c:pt>
              </c:numCache>
            </c:numRef>
          </c:val>
          <c:extLst>
            <c:ext xmlns:c16="http://schemas.microsoft.com/office/drawing/2014/chart" uri="{C3380CC4-5D6E-409C-BE32-E72D297353CC}">
              <c16:uniqueId val="{0000000C-DBE5-4411-A16A-81DB9C61EEB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rgbClr val="920000"/>
              </a:solidFill>
              <a:ln w="19050">
                <a:solidFill>
                  <a:schemeClr val="lt1"/>
                </a:solidFill>
              </a:ln>
              <a:effectLst/>
            </c:spPr>
            <c:extLst>
              <c:ext xmlns:c16="http://schemas.microsoft.com/office/drawing/2014/chart" uri="{C3380CC4-5D6E-409C-BE32-E72D297353CC}">
                <c16:uniqueId val="{00000001-67FE-4C63-A658-43836FEBB14A}"/>
              </c:ext>
            </c:extLst>
          </c:dPt>
          <c:dPt>
            <c:idx val="1"/>
            <c:bubble3D val="0"/>
            <c:spPr>
              <a:solidFill>
                <a:srgbClr val="D20000"/>
              </a:solidFill>
              <a:ln w="19050">
                <a:solidFill>
                  <a:schemeClr val="lt1"/>
                </a:solidFill>
              </a:ln>
              <a:effectLst/>
            </c:spPr>
            <c:extLst>
              <c:ext xmlns:c16="http://schemas.microsoft.com/office/drawing/2014/chart" uri="{C3380CC4-5D6E-409C-BE32-E72D297353CC}">
                <c16:uniqueId val="{00000003-67FE-4C63-A658-43836FEBB14A}"/>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67FE-4C63-A658-43836FEBB14A}"/>
              </c:ext>
            </c:extLst>
          </c:dPt>
          <c:dPt>
            <c:idx val="3"/>
            <c:bubble3D val="0"/>
            <c:spPr>
              <a:solidFill>
                <a:srgbClr val="FF6565"/>
              </a:solidFill>
              <a:ln w="19050">
                <a:solidFill>
                  <a:schemeClr val="lt1"/>
                </a:solidFill>
              </a:ln>
              <a:effectLst/>
            </c:spPr>
            <c:extLst>
              <c:ext xmlns:c16="http://schemas.microsoft.com/office/drawing/2014/chart" uri="{C3380CC4-5D6E-409C-BE32-E72D297353CC}">
                <c16:uniqueId val="{00000007-67FE-4C63-A658-43836FEBB14A}"/>
              </c:ext>
            </c:extLst>
          </c:dPt>
          <c:dPt>
            <c:idx val="4"/>
            <c:bubble3D val="0"/>
            <c:spPr>
              <a:solidFill>
                <a:srgbClr val="FF9B9B"/>
              </a:solidFill>
              <a:ln w="19050">
                <a:solidFill>
                  <a:schemeClr val="lt1"/>
                </a:solidFill>
              </a:ln>
              <a:effectLst/>
            </c:spPr>
            <c:extLst>
              <c:ext xmlns:c16="http://schemas.microsoft.com/office/drawing/2014/chart" uri="{C3380CC4-5D6E-409C-BE32-E72D297353CC}">
                <c16:uniqueId val="{00000009-67FE-4C63-A658-43836FEBB14A}"/>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67FE-4C63-A658-43836FEBB14A}"/>
              </c:ext>
            </c:extLst>
          </c:dPt>
          <c:val>
            <c:numRef>
              <c:f>Calculations!$I$34:$I$39</c:f>
              <c:numCache>
                <c:formatCode>_-* #,##0\ "€"_-;\-* #,##0\ "€"_-;_-* "-"??\ "€"_-;_-@_-</c:formatCode>
                <c:ptCount val="6"/>
                <c:pt idx="0">
                  <c:v>#N/A</c:v>
                </c:pt>
                <c:pt idx="1">
                  <c:v>#N/A</c:v>
                </c:pt>
                <c:pt idx="2">
                  <c:v>#N/A</c:v>
                </c:pt>
                <c:pt idx="3">
                  <c:v>#N/A</c:v>
                </c:pt>
                <c:pt idx="4" formatCode="General">
                  <c:v>0</c:v>
                </c:pt>
                <c:pt idx="5" formatCode="General">
                  <c:v>0</c:v>
                </c:pt>
              </c:numCache>
            </c:numRef>
          </c:val>
          <c:extLst>
            <c:ext xmlns:c15="http://schemas.microsoft.com/office/drawing/2012/chart" uri="{02D57815-91ED-43cb-92C2-25804820EDAC}">
              <c15:filteredCategoryTitle>
                <c15:cat>
                  <c:strRef>
                    <c:extLst>
                      <c:ext uri="{02D57815-91ED-43cb-92C2-25804820EDAC}">
                        <c15:formulaRef>
                          <c15:sqref>Calculations!$H$34:$H$39</c15:sqref>
                        </c15:formulaRef>
                      </c:ext>
                    </c:extLst>
                    <c:strCache>
                      <c:ptCount val="4"/>
                      <c:pt idx="0">
                        <c:v>#NV</c:v>
                      </c:pt>
                      <c:pt idx="1">
                        <c:v>#NV</c:v>
                      </c:pt>
                      <c:pt idx="2">
                        <c:v>#NV</c:v>
                      </c:pt>
                      <c:pt idx="3">
                        <c:v>#NV</c:v>
                      </c:pt>
                    </c:strCache>
                  </c:strRef>
                </c15:cat>
              </c15:filteredCategoryTitle>
            </c:ext>
            <c:ext xmlns:c16="http://schemas.microsoft.com/office/drawing/2014/chart" uri="{C3380CC4-5D6E-409C-BE32-E72D297353CC}">
              <c16:uniqueId val="{0000000C-67FE-4C63-A658-43836FEBB1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01-F0EA-4779-933F-FE2662C539EC}"/>
              </c:ext>
            </c:extLst>
          </c:dPt>
          <c:dPt>
            <c:idx val="1"/>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3-F0EA-4779-933F-FE2662C539EC}"/>
              </c:ext>
            </c:extLst>
          </c:dPt>
          <c:dPt>
            <c:idx val="2"/>
            <c:bubble3D val="0"/>
            <c:spPr>
              <a:solidFill>
                <a:schemeClr val="accent4"/>
              </a:solidFill>
              <a:ln w="19050">
                <a:solidFill>
                  <a:schemeClr val="bg1"/>
                </a:solidFill>
              </a:ln>
              <a:effectLst/>
            </c:spPr>
            <c:extLst>
              <c:ext xmlns:c16="http://schemas.microsoft.com/office/drawing/2014/chart" uri="{C3380CC4-5D6E-409C-BE32-E72D297353CC}">
                <c16:uniqueId val="{00000005-F0EA-4779-933F-FE2662C539EC}"/>
              </c:ext>
            </c:extLst>
          </c:dPt>
          <c:dPt>
            <c:idx val="3"/>
            <c:bubble3D val="0"/>
            <c:spPr>
              <a:solidFill>
                <a:schemeClr val="accent4">
                  <a:lumMod val="60000"/>
                  <a:lumOff val="40000"/>
                </a:schemeClr>
              </a:solidFill>
              <a:ln w="19050">
                <a:solidFill>
                  <a:schemeClr val="bg1"/>
                </a:solidFill>
              </a:ln>
              <a:effectLst/>
            </c:spPr>
            <c:extLst>
              <c:ext xmlns:c16="http://schemas.microsoft.com/office/drawing/2014/chart" uri="{C3380CC4-5D6E-409C-BE32-E72D297353CC}">
                <c16:uniqueId val="{00000007-F0EA-4779-933F-FE2662C539EC}"/>
              </c:ext>
            </c:extLst>
          </c:dPt>
          <c:dPt>
            <c:idx val="4"/>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9-F0EA-4779-933F-FE2662C539EC}"/>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F0EA-4779-933F-FE2662C539EC}"/>
              </c:ext>
            </c:extLst>
          </c:dPt>
          <c:cat>
            <c:strRef>
              <c:f>Calculations!$P$34:$P$39</c:f>
              <c:strCache>
                <c:ptCount val="3"/>
                <c:pt idx="0">
                  <c:v>#NV</c:v>
                </c:pt>
                <c:pt idx="1">
                  <c:v>#NV</c:v>
                </c:pt>
                <c:pt idx="2">
                  <c:v>#NV</c:v>
                </c:pt>
              </c:strCache>
            </c:strRef>
          </c:cat>
          <c:val>
            <c:numRef>
              <c:f>Calculations!$Q$34:$Q$39</c:f>
              <c:numCache>
                <c:formatCode>_-* #,##0\ "€"_-;\-* #,##0\ "€"_-;_-* "-"??\ "€"_-;_-@_-</c:formatCode>
                <c:ptCount val="6"/>
                <c:pt idx="0">
                  <c:v>#N/A</c:v>
                </c:pt>
                <c:pt idx="1">
                  <c:v>#N/A</c:v>
                </c:pt>
                <c:pt idx="2">
                  <c:v>#N/A</c:v>
                </c:pt>
                <c:pt idx="3">
                  <c:v>0</c:v>
                </c:pt>
                <c:pt idx="4">
                  <c:v>0</c:v>
                </c:pt>
                <c:pt idx="5" formatCode="General">
                  <c:v>0</c:v>
                </c:pt>
              </c:numCache>
            </c:numRef>
          </c:val>
          <c:extLst>
            <c:ext xmlns:c16="http://schemas.microsoft.com/office/drawing/2014/chart" uri="{C3380CC4-5D6E-409C-BE32-E72D297353CC}">
              <c16:uniqueId val="{0000000C-F0EA-4779-933F-FE2662C539E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6">
                <a:lumMod val="75000"/>
              </a:schemeClr>
            </a:solidFill>
            <a:ln>
              <a:noFill/>
            </a:ln>
            <a:effectLst/>
          </c:spPr>
          <c:invertIfNegative val="0"/>
          <c:dPt>
            <c:idx val="1"/>
            <c:invertIfNegative val="0"/>
            <c:bubble3D val="0"/>
            <c:spPr>
              <a:solidFill>
                <a:srgbClr val="D20000"/>
              </a:solidFill>
              <a:ln>
                <a:noFill/>
              </a:ln>
              <a:effectLst/>
            </c:spPr>
            <c:extLst>
              <c:ext xmlns:c16="http://schemas.microsoft.com/office/drawing/2014/chart" uri="{C3380CC4-5D6E-409C-BE32-E72D297353CC}">
                <c16:uniqueId val="{00000001-A781-4D3F-9A98-A38D1BAFF702}"/>
              </c:ext>
            </c:extLst>
          </c:dPt>
          <c:dPt>
            <c:idx val="2"/>
            <c:invertIfNegative val="0"/>
            <c:bubble3D val="0"/>
            <c:spPr>
              <a:solidFill>
                <a:schemeClr val="accent2">
                  <a:lumMod val="75000"/>
                </a:schemeClr>
              </a:solidFill>
              <a:ln>
                <a:noFill/>
              </a:ln>
              <a:effectLst/>
            </c:spPr>
            <c:extLst>
              <c:ext xmlns:c16="http://schemas.microsoft.com/office/drawing/2014/chart" uri="{C3380CC4-5D6E-409C-BE32-E72D297353CC}">
                <c16:uniqueId val="{00000003-A781-4D3F-9A98-A38D1BAFF702}"/>
              </c:ext>
            </c:extLst>
          </c:dPt>
          <c:dPt>
            <c:idx val="3"/>
            <c:invertIfNegative val="0"/>
            <c:bubble3D val="0"/>
            <c:spPr>
              <a:solidFill>
                <a:schemeClr val="accent4">
                  <a:lumMod val="75000"/>
                </a:schemeClr>
              </a:solidFill>
              <a:ln>
                <a:noFill/>
              </a:ln>
              <a:effectLst/>
            </c:spPr>
            <c:extLst>
              <c:ext xmlns:c16="http://schemas.microsoft.com/office/drawing/2014/chart" uri="{C3380CC4-5D6E-409C-BE32-E72D297353CC}">
                <c16:uniqueId val="{00000005-A781-4D3F-9A98-A38D1BAFF702}"/>
              </c:ext>
            </c:extLst>
          </c:dPt>
          <c:dPt>
            <c:idx val="6"/>
            <c:invertIfNegative val="0"/>
            <c:bubble3D val="0"/>
            <c:spPr>
              <a:solidFill>
                <a:srgbClr val="D20000"/>
              </a:solidFill>
              <a:ln>
                <a:noFill/>
              </a:ln>
              <a:effectLst/>
            </c:spPr>
            <c:extLst>
              <c:ext xmlns:c16="http://schemas.microsoft.com/office/drawing/2014/chart" uri="{C3380CC4-5D6E-409C-BE32-E72D297353CC}">
                <c16:uniqueId val="{00000007-A781-4D3F-9A98-A38D1BAFF702}"/>
              </c:ext>
            </c:extLst>
          </c:dPt>
          <c:dPt>
            <c:idx val="7"/>
            <c:invertIfNegative val="0"/>
            <c:bubble3D val="0"/>
            <c:spPr>
              <a:solidFill>
                <a:schemeClr val="accent2">
                  <a:lumMod val="75000"/>
                </a:schemeClr>
              </a:solidFill>
              <a:ln>
                <a:noFill/>
              </a:ln>
              <a:effectLst/>
            </c:spPr>
            <c:extLst>
              <c:ext xmlns:c16="http://schemas.microsoft.com/office/drawing/2014/chart" uri="{C3380CC4-5D6E-409C-BE32-E72D297353CC}">
                <c16:uniqueId val="{00000009-A781-4D3F-9A98-A38D1BAFF702}"/>
              </c:ext>
            </c:extLst>
          </c:dPt>
          <c:dPt>
            <c:idx val="8"/>
            <c:invertIfNegative val="0"/>
            <c:bubble3D val="0"/>
            <c:spPr>
              <a:solidFill>
                <a:schemeClr val="accent4">
                  <a:lumMod val="75000"/>
                </a:schemeClr>
              </a:solidFill>
              <a:ln>
                <a:noFill/>
              </a:ln>
              <a:effectLst/>
            </c:spPr>
            <c:extLst>
              <c:ext xmlns:c16="http://schemas.microsoft.com/office/drawing/2014/chart" uri="{C3380CC4-5D6E-409C-BE32-E72D297353CC}">
                <c16:uniqueId val="{0000000B-A781-4D3F-9A98-A38D1BAFF702}"/>
              </c:ext>
            </c:extLst>
          </c:dPt>
          <c:dPt>
            <c:idx val="11"/>
            <c:invertIfNegative val="0"/>
            <c:bubble3D val="0"/>
            <c:spPr>
              <a:solidFill>
                <a:srgbClr val="D20000"/>
              </a:solidFill>
              <a:ln>
                <a:noFill/>
              </a:ln>
              <a:effectLst/>
            </c:spPr>
            <c:extLst>
              <c:ext xmlns:c16="http://schemas.microsoft.com/office/drawing/2014/chart" uri="{C3380CC4-5D6E-409C-BE32-E72D297353CC}">
                <c16:uniqueId val="{0000000D-A781-4D3F-9A98-A38D1BAFF702}"/>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0F-A781-4D3F-9A98-A38D1BAFF702}"/>
              </c:ext>
            </c:extLst>
          </c:dPt>
          <c:dPt>
            <c:idx val="13"/>
            <c:invertIfNegative val="0"/>
            <c:bubble3D val="0"/>
            <c:spPr>
              <a:solidFill>
                <a:schemeClr val="accent4">
                  <a:lumMod val="75000"/>
                </a:schemeClr>
              </a:solidFill>
              <a:ln>
                <a:noFill/>
              </a:ln>
              <a:effectLst/>
            </c:spPr>
            <c:extLst>
              <c:ext xmlns:c16="http://schemas.microsoft.com/office/drawing/2014/chart" uri="{C3380CC4-5D6E-409C-BE32-E72D297353CC}">
                <c16:uniqueId val="{00000011-A781-4D3F-9A98-A38D1BAFF702}"/>
              </c:ext>
            </c:extLst>
          </c:dPt>
          <c:dPt>
            <c:idx val="16"/>
            <c:invertIfNegative val="0"/>
            <c:bubble3D val="0"/>
            <c:spPr>
              <a:solidFill>
                <a:srgbClr val="D20000"/>
              </a:solidFill>
              <a:ln>
                <a:noFill/>
              </a:ln>
              <a:effectLst/>
            </c:spPr>
            <c:extLst>
              <c:ext xmlns:c16="http://schemas.microsoft.com/office/drawing/2014/chart" uri="{C3380CC4-5D6E-409C-BE32-E72D297353CC}">
                <c16:uniqueId val="{00000013-A781-4D3F-9A98-A38D1BAFF702}"/>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5-A781-4D3F-9A98-A38D1BAFF702}"/>
              </c:ext>
            </c:extLst>
          </c:dPt>
          <c:dPt>
            <c:idx val="18"/>
            <c:invertIfNegative val="0"/>
            <c:bubble3D val="0"/>
            <c:spPr>
              <a:solidFill>
                <a:schemeClr val="accent4">
                  <a:lumMod val="75000"/>
                </a:schemeClr>
              </a:solidFill>
              <a:ln>
                <a:noFill/>
              </a:ln>
              <a:effectLst/>
            </c:spPr>
            <c:extLst>
              <c:ext xmlns:c16="http://schemas.microsoft.com/office/drawing/2014/chart" uri="{C3380CC4-5D6E-409C-BE32-E72D297353CC}">
                <c16:uniqueId val="{00000017-A781-4D3F-9A98-A38D1BAFF702}"/>
              </c:ext>
            </c:extLst>
          </c:dPt>
          <c:dPt>
            <c:idx val="21"/>
            <c:invertIfNegative val="0"/>
            <c:bubble3D val="0"/>
            <c:spPr>
              <a:solidFill>
                <a:srgbClr val="D20000"/>
              </a:solidFill>
              <a:ln>
                <a:noFill/>
              </a:ln>
              <a:effectLst/>
            </c:spPr>
            <c:extLst>
              <c:ext xmlns:c16="http://schemas.microsoft.com/office/drawing/2014/chart" uri="{C3380CC4-5D6E-409C-BE32-E72D297353CC}">
                <c16:uniqueId val="{00000019-A781-4D3F-9A98-A38D1BAFF702}"/>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1B-A781-4D3F-9A98-A38D1BAFF702}"/>
              </c:ext>
            </c:extLst>
          </c:dPt>
          <c:dPt>
            <c:idx val="23"/>
            <c:invertIfNegative val="0"/>
            <c:bubble3D val="0"/>
            <c:spPr>
              <a:solidFill>
                <a:schemeClr val="accent4">
                  <a:lumMod val="75000"/>
                </a:schemeClr>
              </a:solidFill>
              <a:ln>
                <a:noFill/>
              </a:ln>
              <a:effectLst/>
            </c:spPr>
            <c:extLst>
              <c:ext xmlns:c16="http://schemas.microsoft.com/office/drawing/2014/chart" uri="{C3380CC4-5D6E-409C-BE32-E72D297353CC}">
                <c16:uniqueId val="{0000001D-A781-4D3F-9A98-A38D1BAFF702}"/>
              </c:ext>
            </c:extLst>
          </c:dPt>
          <c:dPt>
            <c:idx val="26"/>
            <c:invertIfNegative val="0"/>
            <c:bubble3D val="0"/>
            <c:spPr>
              <a:solidFill>
                <a:srgbClr val="D20000"/>
              </a:solidFill>
              <a:ln>
                <a:noFill/>
              </a:ln>
              <a:effectLst/>
            </c:spPr>
            <c:extLst>
              <c:ext xmlns:c16="http://schemas.microsoft.com/office/drawing/2014/chart" uri="{C3380CC4-5D6E-409C-BE32-E72D297353CC}">
                <c16:uniqueId val="{0000001F-A781-4D3F-9A98-A38D1BAFF702}"/>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21-A781-4D3F-9A98-A38D1BAFF702}"/>
              </c:ext>
            </c:extLst>
          </c:dPt>
          <c:dPt>
            <c:idx val="28"/>
            <c:invertIfNegative val="0"/>
            <c:bubble3D val="0"/>
            <c:spPr>
              <a:solidFill>
                <a:schemeClr val="accent4">
                  <a:lumMod val="75000"/>
                </a:schemeClr>
              </a:solidFill>
              <a:ln>
                <a:noFill/>
              </a:ln>
              <a:effectLst/>
            </c:spPr>
            <c:extLst>
              <c:ext xmlns:c16="http://schemas.microsoft.com/office/drawing/2014/chart" uri="{C3380CC4-5D6E-409C-BE32-E72D297353CC}">
                <c16:uniqueId val="{00000023-A781-4D3F-9A98-A38D1BAFF702}"/>
              </c:ext>
            </c:extLst>
          </c:dPt>
          <c:dPt>
            <c:idx val="31"/>
            <c:invertIfNegative val="0"/>
            <c:bubble3D val="0"/>
            <c:spPr>
              <a:solidFill>
                <a:srgbClr val="D20000"/>
              </a:solidFill>
              <a:ln>
                <a:noFill/>
              </a:ln>
              <a:effectLst/>
            </c:spPr>
            <c:extLst>
              <c:ext xmlns:c16="http://schemas.microsoft.com/office/drawing/2014/chart" uri="{C3380CC4-5D6E-409C-BE32-E72D297353CC}">
                <c16:uniqueId val="{00000025-A781-4D3F-9A98-A38D1BAFF702}"/>
              </c:ext>
            </c:extLst>
          </c:dPt>
          <c:dPt>
            <c:idx val="32"/>
            <c:invertIfNegative val="0"/>
            <c:bubble3D val="0"/>
            <c:spPr>
              <a:solidFill>
                <a:schemeClr val="accent2">
                  <a:lumMod val="75000"/>
                </a:schemeClr>
              </a:solidFill>
              <a:ln>
                <a:noFill/>
              </a:ln>
              <a:effectLst/>
            </c:spPr>
            <c:extLst>
              <c:ext xmlns:c16="http://schemas.microsoft.com/office/drawing/2014/chart" uri="{C3380CC4-5D6E-409C-BE32-E72D297353CC}">
                <c16:uniqueId val="{00000027-A781-4D3F-9A98-A38D1BAFF702}"/>
              </c:ext>
            </c:extLst>
          </c:dPt>
          <c:dPt>
            <c:idx val="33"/>
            <c:invertIfNegative val="0"/>
            <c:bubble3D val="0"/>
            <c:spPr>
              <a:solidFill>
                <a:schemeClr val="accent4">
                  <a:lumMod val="75000"/>
                </a:schemeClr>
              </a:solidFill>
              <a:ln>
                <a:noFill/>
              </a:ln>
              <a:effectLst/>
            </c:spPr>
            <c:extLst>
              <c:ext xmlns:c16="http://schemas.microsoft.com/office/drawing/2014/chart" uri="{C3380CC4-5D6E-409C-BE32-E72D297353CC}">
                <c16:uniqueId val="{00000029-A781-4D3F-9A98-A38D1BAFF702}"/>
              </c:ext>
            </c:extLst>
          </c:dPt>
          <c:dPt>
            <c:idx val="36"/>
            <c:invertIfNegative val="0"/>
            <c:bubble3D val="0"/>
            <c:spPr>
              <a:solidFill>
                <a:srgbClr val="D20000"/>
              </a:solidFill>
              <a:ln>
                <a:noFill/>
              </a:ln>
              <a:effectLst/>
            </c:spPr>
            <c:extLst>
              <c:ext xmlns:c16="http://schemas.microsoft.com/office/drawing/2014/chart" uri="{C3380CC4-5D6E-409C-BE32-E72D297353CC}">
                <c16:uniqueId val="{0000002B-A781-4D3F-9A98-A38D1BAFF702}"/>
              </c:ext>
            </c:extLst>
          </c:dPt>
          <c:dPt>
            <c:idx val="37"/>
            <c:invertIfNegative val="0"/>
            <c:bubble3D val="0"/>
            <c:spPr>
              <a:solidFill>
                <a:schemeClr val="accent2">
                  <a:lumMod val="75000"/>
                </a:schemeClr>
              </a:solidFill>
              <a:ln>
                <a:noFill/>
              </a:ln>
              <a:effectLst/>
            </c:spPr>
            <c:extLst>
              <c:ext xmlns:c16="http://schemas.microsoft.com/office/drawing/2014/chart" uri="{C3380CC4-5D6E-409C-BE32-E72D297353CC}">
                <c16:uniqueId val="{0000002D-A781-4D3F-9A98-A38D1BAFF702}"/>
              </c:ext>
            </c:extLst>
          </c:dPt>
          <c:dPt>
            <c:idx val="38"/>
            <c:invertIfNegative val="0"/>
            <c:bubble3D val="0"/>
            <c:spPr>
              <a:solidFill>
                <a:schemeClr val="accent4">
                  <a:lumMod val="75000"/>
                </a:schemeClr>
              </a:solidFill>
              <a:ln>
                <a:noFill/>
              </a:ln>
              <a:effectLst/>
            </c:spPr>
            <c:extLst>
              <c:ext xmlns:c16="http://schemas.microsoft.com/office/drawing/2014/chart" uri="{C3380CC4-5D6E-409C-BE32-E72D297353CC}">
                <c16:uniqueId val="{0000002F-A781-4D3F-9A98-A38D1BAFF702}"/>
              </c:ext>
            </c:extLst>
          </c:dPt>
          <c:dPt>
            <c:idx val="41"/>
            <c:invertIfNegative val="0"/>
            <c:bubble3D val="0"/>
            <c:spPr>
              <a:solidFill>
                <a:srgbClr val="D20000"/>
              </a:solidFill>
              <a:ln>
                <a:noFill/>
              </a:ln>
              <a:effectLst/>
            </c:spPr>
            <c:extLst>
              <c:ext xmlns:c16="http://schemas.microsoft.com/office/drawing/2014/chart" uri="{C3380CC4-5D6E-409C-BE32-E72D297353CC}">
                <c16:uniqueId val="{00000031-A781-4D3F-9A98-A38D1BAFF702}"/>
              </c:ext>
            </c:extLst>
          </c:dPt>
          <c:dPt>
            <c:idx val="42"/>
            <c:invertIfNegative val="0"/>
            <c:bubble3D val="0"/>
            <c:spPr>
              <a:solidFill>
                <a:schemeClr val="accent2">
                  <a:lumMod val="75000"/>
                </a:schemeClr>
              </a:solidFill>
              <a:ln>
                <a:noFill/>
              </a:ln>
              <a:effectLst/>
            </c:spPr>
            <c:extLst>
              <c:ext xmlns:c16="http://schemas.microsoft.com/office/drawing/2014/chart" uri="{C3380CC4-5D6E-409C-BE32-E72D297353CC}">
                <c16:uniqueId val="{00000033-A781-4D3F-9A98-A38D1BAFF702}"/>
              </c:ext>
            </c:extLst>
          </c:dPt>
          <c:dPt>
            <c:idx val="43"/>
            <c:invertIfNegative val="0"/>
            <c:bubble3D val="0"/>
            <c:spPr>
              <a:solidFill>
                <a:schemeClr val="accent4">
                  <a:lumMod val="75000"/>
                </a:schemeClr>
              </a:solidFill>
              <a:ln>
                <a:noFill/>
              </a:ln>
              <a:effectLst/>
            </c:spPr>
            <c:extLst>
              <c:ext xmlns:c16="http://schemas.microsoft.com/office/drawing/2014/chart" uri="{C3380CC4-5D6E-409C-BE32-E72D297353CC}">
                <c16:uniqueId val="{00000035-A781-4D3F-9A98-A38D1BAFF702}"/>
              </c:ext>
            </c:extLst>
          </c:dPt>
          <c:dPt>
            <c:idx val="46"/>
            <c:invertIfNegative val="0"/>
            <c:bubble3D val="0"/>
            <c:spPr>
              <a:solidFill>
                <a:srgbClr val="D20000"/>
              </a:solidFill>
              <a:ln>
                <a:noFill/>
              </a:ln>
              <a:effectLst/>
            </c:spPr>
            <c:extLst>
              <c:ext xmlns:c16="http://schemas.microsoft.com/office/drawing/2014/chart" uri="{C3380CC4-5D6E-409C-BE32-E72D297353CC}">
                <c16:uniqueId val="{00000037-A781-4D3F-9A98-A38D1BAFF702}"/>
              </c:ext>
            </c:extLst>
          </c:dPt>
          <c:dPt>
            <c:idx val="47"/>
            <c:invertIfNegative val="0"/>
            <c:bubble3D val="0"/>
            <c:spPr>
              <a:solidFill>
                <a:schemeClr val="accent2">
                  <a:lumMod val="75000"/>
                </a:schemeClr>
              </a:solidFill>
              <a:ln>
                <a:noFill/>
              </a:ln>
              <a:effectLst/>
            </c:spPr>
            <c:extLst>
              <c:ext xmlns:c16="http://schemas.microsoft.com/office/drawing/2014/chart" uri="{C3380CC4-5D6E-409C-BE32-E72D297353CC}">
                <c16:uniqueId val="{00000039-A781-4D3F-9A98-A38D1BAFF702}"/>
              </c:ext>
            </c:extLst>
          </c:dPt>
          <c:dPt>
            <c:idx val="48"/>
            <c:invertIfNegative val="0"/>
            <c:bubble3D val="0"/>
            <c:spPr>
              <a:solidFill>
                <a:schemeClr val="accent4">
                  <a:lumMod val="75000"/>
                </a:schemeClr>
              </a:solidFill>
              <a:ln>
                <a:noFill/>
              </a:ln>
              <a:effectLst/>
            </c:spPr>
            <c:extLst>
              <c:ext xmlns:c16="http://schemas.microsoft.com/office/drawing/2014/chart" uri="{C3380CC4-5D6E-409C-BE32-E72D297353CC}">
                <c16:uniqueId val="{0000003B-A781-4D3F-9A98-A38D1BAFF702}"/>
              </c:ext>
            </c:extLst>
          </c:dPt>
          <c:dPt>
            <c:idx val="51"/>
            <c:invertIfNegative val="0"/>
            <c:bubble3D val="0"/>
            <c:spPr>
              <a:solidFill>
                <a:srgbClr val="D20000"/>
              </a:solidFill>
              <a:ln>
                <a:noFill/>
              </a:ln>
              <a:effectLst/>
            </c:spPr>
            <c:extLst>
              <c:ext xmlns:c16="http://schemas.microsoft.com/office/drawing/2014/chart" uri="{C3380CC4-5D6E-409C-BE32-E72D297353CC}">
                <c16:uniqueId val="{0000003D-A781-4D3F-9A98-A38D1BAFF702}"/>
              </c:ext>
            </c:extLst>
          </c:dPt>
          <c:dPt>
            <c:idx val="52"/>
            <c:invertIfNegative val="0"/>
            <c:bubble3D val="0"/>
            <c:spPr>
              <a:solidFill>
                <a:schemeClr val="accent2">
                  <a:lumMod val="75000"/>
                </a:schemeClr>
              </a:solidFill>
              <a:ln>
                <a:noFill/>
              </a:ln>
              <a:effectLst/>
            </c:spPr>
            <c:extLst>
              <c:ext xmlns:c16="http://schemas.microsoft.com/office/drawing/2014/chart" uri="{C3380CC4-5D6E-409C-BE32-E72D297353CC}">
                <c16:uniqueId val="{0000003F-A781-4D3F-9A98-A38D1BAFF702}"/>
              </c:ext>
            </c:extLst>
          </c:dPt>
          <c:dPt>
            <c:idx val="53"/>
            <c:invertIfNegative val="0"/>
            <c:bubble3D val="0"/>
            <c:spPr>
              <a:solidFill>
                <a:schemeClr val="accent4">
                  <a:lumMod val="75000"/>
                </a:schemeClr>
              </a:solidFill>
              <a:ln>
                <a:noFill/>
              </a:ln>
              <a:effectLst/>
            </c:spPr>
            <c:extLst>
              <c:ext xmlns:c16="http://schemas.microsoft.com/office/drawing/2014/chart" uri="{C3380CC4-5D6E-409C-BE32-E72D297353CC}">
                <c16:uniqueId val="{00000041-A781-4D3F-9A98-A38D1BAFF702}"/>
              </c:ext>
            </c:extLst>
          </c:dPt>
          <c:dPt>
            <c:idx val="56"/>
            <c:invertIfNegative val="0"/>
            <c:bubble3D val="0"/>
            <c:spPr>
              <a:solidFill>
                <a:srgbClr val="D20000"/>
              </a:solidFill>
              <a:ln>
                <a:noFill/>
              </a:ln>
              <a:effectLst/>
            </c:spPr>
            <c:extLst>
              <c:ext xmlns:c16="http://schemas.microsoft.com/office/drawing/2014/chart" uri="{C3380CC4-5D6E-409C-BE32-E72D297353CC}">
                <c16:uniqueId val="{00000043-A781-4D3F-9A98-A38D1BAFF702}"/>
              </c:ext>
            </c:extLst>
          </c:dPt>
          <c:dPt>
            <c:idx val="57"/>
            <c:invertIfNegative val="0"/>
            <c:bubble3D val="0"/>
            <c:spPr>
              <a:solidFill>
                <a:schemeClr val="accent2">
                  <a:lumMod val="75000"/>
                </a:schemeClr>
              </a:solidFill>
              <a:ln>
                <a:noFill/>
              </a:ln>
              <a:effectLst/>
            </c:spPr>
            <c:extLst>
              <c:ext xmlns:c16="http://schemas.microsoft.com/office/drawing/2014/chart" uri="{C3380CC4-5D6E-409C-BE32-E72D297353CC}">
                <c16:uniqueId val="{00000045-A781-4D3F-9A98-A38D1BAFF702}"/>
              </c:ext>
            </c:extLst>
          </c:dPt>
          <c:dPt>
            <c:idx val="58"/>
            <c:invertIfNegative val="0"/>
            <c:bubble3D val="0"/>
            <c:spPr>
              <a:solidFill>
                <a:schemeClr val="accent4">
                  <a:lumMod val="75000"/>
                </a:schemeClr>
              </a:solidFill>
              <a:ln>
                <a:noFill/>
              </a:ln>
              <a:effectLst/>
            </c:spPr>
            <c:extLst>
              <c:ext xmlns:c16="http://schemas.microsoft.com/office/drawing/2014/chart" uri="{C3380CC4-5D6E-409C-BE32-E72D297353CC}">
                <c16:uniqueId val="{00000047-A781-4D3F-9A98-A38D1BAFF702}"/>
              </c:ext>
            </c:extLst>
          </c:dPt>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Calculations!$L$52:$L$111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48-A781-4D3F-9A98-A38D1BAFF702}"/>
            </c:ext>
          </c:extLst>
        </c:ser>
        <c:ser>
          <c:idx val="1"/>
          <c:order val="1"/>
          <c:spPr>
            <a:solidFill>
              <a:schemeClr val="accent6">
                <a:lumMod val="20000"/>
                <a:lumOff val="80000"/>
              </a:schemeClr>
            </a:solidFill>
            <a:ln>
              <a:noFill/>
            </a:ln>
            <a:effectLst/>
          </c:spPr>
          <c:invertIfNegative val="0"/>
          <c:dPt>
            <c:idx val="1"/>
            <c:invertIfNegative val="0"/>
            <c:bubble3D val="0"/>
            <c:spPr>
              <a:solidFill>
                <a:srgbClr val="FF9B9B"/>
              </a:solidFill>
              <a:ln>
                <a:noFill/>
              </a:ln>
              <a:effectLst/>
            </c:spPr>
            <c:extLst>
              <c:ext xmlns:c16="http://schemas.microsoft.com/office/drawing/2014/chart" uri="{C3380CC4-5D6E-409C-BE32-E72D297353CC}">
                <c16:uniqueId val="{0000004A-A781-4D3F-9A98-A38D1BAFF702}"/>
              </c:ext>
            </c:extLst>
          </c:dPt>
          <c:dPt>
            <c:idx val="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4C-A781-4D3F-9A98-A38D1BAFF702}"/>
              </c:ext>
            </c:extLst>
          </c:dPt>
          <c:dPt>
            <c:idx val="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4E-A781-4D3F-9A98-A38D1BAFF702}"/>
              </c:ext>
            </c:extLst>
          </c:dPt>
          <c:dPt>
            <c:idx val="6"/>
            <c:invertIfNegative val="0"/>
            <c:bubble3D val="0"/>
            <c:spPr>
              <a:solidFill>
                <a:srgbClr val="FF9B9B"/>
              </a:solidFill>
              <a:ln>
                <a:noFill/>
              </a:ln>
              <a:effectLst/>
            </c:spPr>
            <c:extLst>
              <c:ext xmlns:c16="http://schemas.microsoft.com/office/drawing/2014/chart" uri="{C3380CC4-5D6E-409C-BE32-E72D297353CC}">
                <c16:uniqueId val="{00000050-A781-4D3F-9A98-A38D1BAFF702}"/>
              </c:ext>
            </c:extLst>
          </c:dPt>
          <c:dPt>
            <c:idx val="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52-A781-4D3F-9A98-A38D1BAFF702}"/>
              </c:ext>
            </c:extLst>
          </c:dPt>
          <c:dPt>
            <c:idx val="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54-A781-4D3F-9A98-A38D1BAFF702}"/>
              </c:ext>
            </c:extLst>
          </c:dPt>
          <c:dPt>
            <c:idx val="11"/>
            <c:invertIfNegative val="0"/>
            <c:bubble3D val="0"/>
            <c:spPr>
              <a:solidFill>
                <a:srgbClr val="FF9B9B"/>
              </a:solidFill>
              <a:ln>
                <a:noFill/>
              </a:ln>
              <a:effectLst/>
            </c:spPr>
            <c:extLst>
              <c:ext xmlns:c16="http://schemas.microsoft.com/office/drawing/2014/chart" uri="{C3380CC4-5D6E-409C-BE32-E72D297353CC}">
                <c16:uniqueId val="{00000056-A781-4D3F-9A98-A38D1BAFF702}"/>
              </c:ext>
            </c:extLst>
          </c:dPt>
          <c:dPt>
            <c:idx val="1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58-A781-4D3F-9A98-A38D1BAFF702}"/>
              </c:ext>
            </c:extLst>
          </c:dPt>
          <c:dPt>
            <c:idx val="1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5A-A781-4D3F-9A98-A38D1BAFF702}"/>
              </c:ext>
            </c:extLst>
          </c:dPt>
          <c:dPt>
            <c:idx val="16"/>
            <c:invertIfNegative val="0"/>
            <c:bubble3D val="0"/>
            <c:spPr>
              <a:solidFill>
                <a:srgbClr val="FF9B9B"/>
              </a:solidFill>
              <a:ln>
                <a:noFill/>
              </a:ln>
              <a:effectLst/>
            </c:spPr>
            <c:extLst>
              <c:ext xmlns:c16="http://schemas.microsoft.com/office/drawing/2014/chart" uri="{C3380CC4-5D6E-409C-BE32-E72D297353CC}">
                <c16:uniqueId val="{0000005C-A781-4D3F-9A98-A38D1BAFF702}"/>
              </c:ext>
            </c:extLst>
          </c:dPt>
          <c:dPt>
            <c:idx val="1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5E-A781-4D3F-9A98-A38D1BAFF702}"/>
              </c:ext>
            </c:extLst>
          </c:dPt>
          <c:dPt>
            <c:idx val="1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60-A781-4D3F-9A98-A38D1BAFF702}"/>
              </c:ext>
            </c:extLst>
          </c:dPt>
          <c:dPt>
            <c:idx val="21"/>
            <c:invertIfNegative val="0"/>
            <c:bubble3D val="0"/>
            <c:spPr>
              <a:solidFill>
                <a:srgbClr val="FF9B9B"/>
              </a:solidFill>
              <a:ln>
                <a:noFill/>
              </a:ln>
              <a:effectLst/>
            </c:spPr>
            <c:extLst>
              <c:ext xmlns:c16="http://schemas.microsoft.com/office/drawing/2014/chart" uri="{C3380CC4-5D6E-409C-BE32-E72D297353CC}">
                <c16:uniqueId val="{00000062-A781-4D3F-9A98-A38D1BAFF702}"/>
              </c:ext>
            </c:extLst>
          </c:dPt>
          <c:dPt>
            <c:idx val="2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64-A781-4D3F-9A98-A38D1BAFF702}"/>
              </c:ext>
            </c:extLst>
          </c:dPt>
          <c:dPt>
            <c:idx val="2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66-A781-4D3F-9A98-A38D1BAFF702}"/>
              </c:ext>
            </c:extLst>
          </c:dPt>
          <c:dPt>
            <c:idx val="26"/>
            <c:invertIfNegative val="0"/>
            <c:bubble3D val="0"/>
            <c:spPr>
              <a:solidFill>
                <a:srgbClr val="FF9B9B"/>
              </a:solidFill>
              <a:ln>
                <a:noFill/>
              </a:ln>
              <a:effectLst/>
            </c:spPr>
            <c:extLst>
              <c:ext xmlns:c16="http://schemas.microsoft.com/office/drawing/2014/chart" uri="{C3380CC4-5D6E-409C-BE32-E72D297353CC}">
                <c16:uniqueId val="{00000068-A781-4D3F-9A98-A38D1BAFF702}"/>
              </c:ext>
            </c:extLst>
          </c:dPt>
          <c:dPt>
            <c:idx val="2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6A-A781-4D3F-9A98-A38D1BAFF702}"/>
              </c:ext>
            </c:extLst>
          </c:dPt>
          <c:dPt>
            <c:idx val="2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6C-A781-4D3F-9A98-A38D1BAFF702}"/>
              </c:ext>
            </c:extLst>
          </c:dPt>
          <c:dPt>
            <c:idx val="31"/>
            <c:invertIfNegative val="0"/>
            <c:bubble3D val="0"/>
            <c:spPr>
              <a:solidFill>
                <a:srgbClr val="FF9B9B"/>
              </a:solidFill>
              <a:ln>
                <a:noFill/>
              </a:ln>
              <a:effectLst/>
            </c:spPr>
            <c:extLst>
              <c:ext xmlns:c16="http://schemas.microsoft.com/office/drawing/2014/chart" uri="{C3380CC4-5D6E-409C-BE32-E72D297353CC}">
                <c16:uniqueId val="{0000006E-A781-4D3F-9A98-A38D1BAFF702}"/>
              </c:ext>
            </c:extLst>
          </c:dPt>
          <c:dPt>
            <c:idx val="3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70-A781-4D3F-9A98-A38D1BAFF702}"/>
              </c:ext>
            </c:extLst>
          </c:dPt>
          <c:dPt>
            <c:idx val="3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72-A781-4D3F-9A98-A38D1BAFF702}"/>
              </c:ext>
            </c:extLst>
          </c:dPt>
          <c:dPt>
            <c:idx val="36"/>
            <c:invertIfNegative val="0"/>
            <c:bubble3D val="0"/>
            <c:spPr>
              <a:solidFill>
                <a:srgbClr val="FF9B9B"/>
              </a:solidFill>
              <a:ln>
                <a:noFill/>
              </a:ln>
              <a:effectLst/>
            </c:spPr>
            <c:extLst>
              <c:ext xmlns:c16="http://schemas.microsoft.com/office/drawing/2014/chart" uri="{C3380CC4-5D6E-409C-BE32-E72D297353CC}">
                <c16:uniqueId val="{00000074-A781-4D3F-9A98-A38D1BAFF702}"/>
              </c:ext>
            </c:extLst>
          </c:dPt>
          <c:dPt>
            <c:idx val="3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76-A781-4D3F-9A98-A38D1BAFF702}"/>
              </c:ext>
            </c:extLst>
          </c:dPt>
          <c:dPt>
            <c:idx val="3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78-A781-4D3F-9A98-A38D1BAFF702}"/>
              </c:ext>
            </c:extLst>
          </c:dPt>
          <c:dPt>
            <c:idx val="41"/>
            <c:invertIfNegative val="0"/>
            <c:bubble3D val="0"/>
            <c:spPr>
              <a:solidFill>
                <a:srgbClr val="FF9B9B"/>
              </a:solidFill>
              <a:ln>
                <a:noFill/>
              </a:ln>
              <a:effectLst/>
            </c:spPr>
            <c:extLst>
              <c:ext xmlns:c16="http://schemas.microsoft.com/office/drawing/2014/chart" uri="{C3380CC4-5D6E-409C-BE32-E72D297353CC}">
                <c16:uniqueId val="{0000007A-A781-4D3F-9A98-A38D1BAFF702}"/>
              </c:ext>
            </c:extLst>
          </c:dPt>
          <c:dPt>
            <c:idx val="4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7C-A781-4D3F-9A98-A38D1BAFF702}"/>
              </c:ext>
            </c:extLst>
          </c:dPt>
          <c:dPt>
            <c:idx val="4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7E-A781-4D3F-9A98-A38D1BAFF702}"/>
              </c:ext>
            </c:extLst>
          </c:dPt>
          <c:dPt>
            <c:idx val="46"/>
            <c:invertIfNegative val="0"/>
            <c:bubble3D val="0"/>
            <c:spPr>
              <a:solidFill>
                <a:srgbClr val="FF9B9B"/>
              </a:solidFill>
              <a:ln>
                <a:noFill/>
              </a:ln>
              <a:effectLst/>
            </c:spPr>
            <c:extLst>
              <c:ext xmlns:c16="http://schemas.microsoft.com/office/drawing/2014/chart" uri="{C3380CC4-5D6E-409C-BE32-E72D297353CC}">
                <c16:uniqueId val="{00000080-A781-4D3F-9A98-A38D1BAFF702}"/>
              </c:ext>
            </c:extLst>
          </c:dPt>
          <c:dPt>
            <c:idx val="4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82-A781-4D3F-9A98-A38D1BAFF702}"/>
              </c:ext>
            </c:extLst>
          </c:dPt>
          <c:dPt>
            <c:idx val="4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84-A781-4D3F-9A98-A38D1BAFF702}"/>
              </c:ext>
            </c:extLst>
          </c:dPt>
          <c:dPt>
            <c:idx val="51"/>
            <c:invertIfNegative val="0"/>
            <c:bubble3D val="0"/>
            <c:spPr>
              <a:solidFill>
                <a:srgbClr val="FF9B9B"/>
              </a:solidFill>
              <a:ln>
                <a:noFill/>
              </a:ln>
              <a:effectLst/>
            </c:spPr>
            <c:extLst>
              <c:ext xmlns:c16="http://schemas.microsoft.com/office/drawing/2014/chart" uri="{C3380CC4-5D6E-409C-BE32-E72D297353CC}">
                <c16:uniqueId val="{00000086-A781-4D3F-9A98-A38D1BAFF702}"/>
              </c:ext>
            </c:extLst>
          </c:dPt>
          <c:dPt>
            <c:idx val="52"/>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88-A781-4D3F-9A98-A38D1BAFF702}"/>
              </c:ext>
            </c:extLst>
          </c:dPt>
          <c:dPt>
            <c:idx val="53"/>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8A-A781-4D3F-9A98-A38D1BAFF702}"/>
              </c:ext>
            </c:extLst>
          </c:dPt>
          <c:dPt>
            <c:idx val="56"/>
            <c:invertIfNegative val="0"/>
            <c:bubble3D val="0"/>
            <c:spPr>
              <a:solidFill>
                <a:srgbClr val="FF9B9B"/>
              </a:solidFill>
              <a:ln>
                <a:noFill/>
              </a:ln>
              <a:effectLst/>
            </c:spPr>
            <c:extLst>
              <c:ext xmlns:c16="http://schemas.microsoft.com/office/drawing/2014/chart" uri="{C3380CC4-5D6E-409C-BE32-E72D297353CC}">
                <c16:uniqueId val="{0000008C-A781-4D3F-9A98-A38D1BAFF702}"/>
              </c:ext>
            </c:extLst>
          </c:dPt>
          <c:dPt>
            <c:idx val="57"/>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8E-A781-4D3F-9A98-A38D1BAFF702}"/>
              </c:ext>
            </c:extLst>
          </c:dPt>
          <c:dPt>
            <c:idx val="58"/>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90-A781-4D3F-9A98-A38D1BAFF702}"/>
              </c:ext>
            </c:extLst>
          </c:dPt>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Calculations!$M$52:$M$111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91-A781-4D3F-9A98-A38D1BAFF702}"/>
            </c:ext>
          </c:extLst>
        </c:ser>
        <c:ser>
          <c:idx val="2"/>
          <c:order val="2"/>
          <c:spPr>
            <a:solidFill>
              <a:schemeClr val="accent6">
                <a:lumMod val="60000"/>
                <a:lumOff val="40000"/>
              </a:schemeClr>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93-A781-4D3F-9A98-A38D1BAFF702}"/>
              </c:ext>
            </c:extLst>
          </c:dPt>
          <c:dPt>
            <c:idx val="2"/>
            <c:invertIfNegative val="0"/>
            <c:bubble3D val="0"/>
            <c:spPr>
              <a:solidFill>
                <a:schemeClr val="accent2"/>
              </a:solidFill>
              <a:ln>
                <a:noFill/>
              </a:ln>
              <a:effectLst/>
            </c:spPr>
            <c:extLst>
              <c:ext xmlns:c16="http://schemas.microsoft.com/office/drawing/2014/chart" uri="{C3380CC4-5D6E-409C-BE32-E72D297353CC}">
                <c16:uniqueId val="{00000095-A781-4D3F-9A98-A38D1BAFF70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97-A781-4D3F-9A98-A38D1BAFF702}"/>
              </c:ext>
            </c:extLst>
          </c:dPt>
          <c:dPt>
            <c:idx val="6"/>
            <c:invertIfNegative val="0"/>
            <c:bubble3D val="0"/>
            <c:spPr>
              <a:solidFill>
                <a:srgbClr val="FF0000"/>
              </a:solidFill>
              <a:ln>
                <a:noFill/>
              </a:ln>
              <a:effectLst/>
            </c:spPr>
            <c:extLst>
              <c:ext xmlns:c16="http://schemas.microsoft.com/office/drawing/2014/chart" uri="{C3380CC4-5D6E-409C-BE32-E72D297353CC}">
                <c16:uniqueId val="{00000099-A781-4D3F-9A98-A38D1BAFF702}"/>
              </c:ext>
            </c:extLst>
          </c:dPt>
          <c:dPt>
            <c:idx val="7"/>
            <c:invertIfNegative val="0"/>
            <c:bubble3D val="0"/>
            <c:spPr>
              <a:solidFill>
                <a:schemeClr val="accent2"/>
              </a:solidFill>
              <a:ln>
                <a:noFill/>
              </a:ln>
              <a:effectLst/>
            </c:spPr>
            <c:extLst>
              <c:ext xmlns:c16="http://schemas.microsoft.com/office/drawing/2014/chart" uri="{C3380CC4-5D6E-409C-BE32-E72D297353CC}">
                <c16:uniqueId val="{0000009B-A781-4D3F-9A98-A38D1BAFF702}"/>
              </c:ext>
            </c:extLst>
          </c:dPt>
          <c:dPt>
            <c:idx val="8"/>
            <c:invertIfNegative val="0"/>
            <c:bubble3D val="0"/>
            <c:spPr>
              <a:solidFill>
                <a:schemeClr val="accent4"/>
              </a:solidFill>
              <a:ln>
                <a:noFill/>
              </a:ln>
              <a:effectLst/>
            </c:spPr>
            <c:extLst>
              <c:ext xmlns:c16="http://schemas.microsoft.com/office/drawing/2014/chart" uri="{C3380CC4-5D6E-409C-BE32-E72D297353CC}">
                <c16:uniqueId val="{0000009D-A781-4D3F-9A98-A38D1BAFF702}"/>
              </c:ext>
            </c:extLst>
          </c:dPt>
          <c:dPt>
            <c:idx val="11"/>
            <c:invertIfNegative val="0"/>
            <c:bubble3D val="0"/>
            <c:spPr>
              <a:solidFill>
                <a:srgbClr val="FF0000"/>
              </a:solidFill>
              <a:ln>
                <a:noFill/>
              </a:ln>
              <a:effectLst/>
            </c:spPr>
            <c:extLst>
              <c:ext xmlns:c16="http://schemas.microsoft.com/office/drawing/2014/chart" uri="{C3380CC4-5D6E-409C-BE32-E72D297353CC}">
                <c16:uniqueId val="{0000009F-A781-4D3F-9A98-A38D1BAFF702}"/>
              </c:ext>
            </c:extLst>
          </c:dPt>
          <c:dPt>
            <c:idx val="12"/>
            <c:invertIfNegative val="0"/>
            <c:bubble3D val="0"/>
            <c:spPr>
              <a:solidFill>
                <a:schemeClr val="accent2"/>
              </a:solidFill>
              <a:ln>
                <a:noFill/>
              </a:ln>
              <a:effectLst/>
            </c:spPr>
            <c:extLst>
              <c:ext xmlns:c16="http://schemas.microsoft.com/office/drawing/2014/chart" uri="{C3380CC4-5D6E-409C-BE32-E72D297353CC}">
                <c16:uniqueId val="{000000A1-A781-4D3F-9A98-A38D1BAFF702}"/>
              </c:ext>
            </c:extLst>
          </c:dPt>
          <c:dPt>
            <c:idx val="13"/>
            <c:invertIfNegative val="0"/>
            <c:bubble3D val="0"/>
            <c:spPr>
              <a:solidFill>
                <a:schemeClr val="accent4"/>
              </a:solidFill>
              <a:ln>
                <a:noFill/>
              </a:ln>
              <a:effectLst/>
            </c:spPr>
            <c:extLst>
              <c:ext xmlns:c16="http://schemas.microsoft.com/office/drawing/2014/chart" uri="{C3380CC4-5D6E-409C-BE32-E72D297353CC}">
                <c16:uniqueId val="{000000A3-A781-4D3F-9A98-A38D1BAFF702}"/>
              </c:ext>
            </c:extLst>
          </c:dPt>
          <c:dPt>
            <c:idx val="16"/>
            <c:invertIfNegative val="0"/>
            <c:bubble3D val="0"/>
            <c:spPr>
              <a:solidFill>
                <a:srgbClr val="FF0000"/>
              </a:solidFill>
              <a:ln>
                <a:noFill/>
              </a:ln>
              <a:effectLst/>
            </c:spPr>
            <c:extLst>
              <c:ext xmlns:c16="http://schemas.microsoft.com/office/drawing/2014/chart" uri="{C3380CC4-5D6E-409C-BE32-E72D297353CC}">
                <c16:uniqueId val="{000000A5-A781-4D3F-9A98-A38D1BAFF702}"/>
              </c:ext>
            </c:extLst>
          </c:dPt>
          <c:dPt>
            <c:idx val="17"/>
            <c:invertIfNegative val="0"/>
            <c:bubble3D val="0"/>
            <c:spPr>
              <a:solidFill>
                <a:schemeClr val="accent2"/>
              </a:solidFill>
              <a:ln>
                <a:noFill/>
              </a:ln>
              <a:effectLst/>
            </c:spPr>
            <c:extLst>
              <c:ext xmlns:c16="http://schemas.microsoft.com/office/drawing/2014/chart" uri="{C3380CC4-5D6E-409C-BE32-E72D297353CC}">
                <c16:uniqueId val="{000000A7-A781-4D3F-9A98-A38D1BAFF702}"/>
              </c:ext>
            </c:extLst>
          </c:dPt>
          <c:dPt>
            <c:idx val="18"/>
            <c:invertIfNegative val="0"/>
            <c:bubble3D val="0"/>
            <c:spPr>
              <a:solidFill>
                <a:schemeClr val="accent4"/>
              </a:solidFill>
              <a:ln>
                <a:noFill/>
              </a:ln>
              <a:effectLst/>
            </c:spPr>
            <c:extLst>
              <c:ext xmlns:c16="http://schemas.microsoft.com/office/drawing/2014/chart" uri="{C3380CC4-5D6E-409C-BE32-E72D297353CC}">
                <c16:uniqueId val="{000000A9-A781-4D3F-9A98-A38D1BAFF702}"/>
              </c:ext>
            </c:extLst>
          </c:dPt>
          <c:dPt>
            <c:idx val="21"/>
            <c:invertIfNegative val="0"/>
            <c:bubble3D val="0"/>
            <c:spPr>
              <a:solidFill>
                <a:srgbClr val="FF0000"/>
              </a:solidFill>
              <a:ln>
                <a:noFill/>
              </a:ln>
              <a:effectLst/>
            </c:spPr>
            <c:extLst>
              <c:ext xmlns:c16="http://schemas.microsoft.com/office/drawing/2014/chart" uri="{C3380CC4-5D6E-409C-BE32-E72D297353CC}">
                <c16:uniqueId val="{000000AB-A781-4D3F-9A98-A38D1BAFF702}"/>
              </c:ext>
            </c:extLst>
          </c:dPt>
          <c:dPt>
            <c:idx val="22"/>
            <c:invertIfNegative val="0"/>
            <c:bubble3D val="0"/>
            <c:spPr>
              <a:solidFill>
                <a:schemeClr val="accent2"/>
              </a:solidFill>
              <a:ln>
                <a:noFill/>
              </a:ln>
              <a:effectLst/>
            </c:spPr>
            <c:extLst>
              <c:ext xmlns:c16="http://schemas.microsoft.com/office/drawing/2014/chart" uri="{C3380CC4-5D6E-409C-BE32-E72D297353CC}">
                <c16:uniqueId val="{000000AD-A781-4D3F-9A98-A38D1BAFF702}"/>
              </c:ext>
            </c:extLst>
          </c:dPt>
          <c:dPt>
            <c:idx val="23"/>
            <c:invertIfNegative val="0"/>
            <c:bubble3D val="0"/>
            <c:spPr>
              <a:solidFill>
                <a:schemeClr val="accent4"/>
              </a:solidFill>
              <a:ln>
                <a:noFill/>
              </a:ln>
              <a:effectLst/>
            </c:spPr>
            <c:extLst>
              <c:ext xmlns:c16="http://schemas.microsoft.com/office/drawing/2014/chart" uri="{C3380CC4-5D6E-409C-BE32-E72D297353CC}">
                <c16:uniqueId val="{000000AF-A781-4D3F-9A98-A38D1BAFF702}"/>
              </c:ext>
            </c:extLst>
          </c:dPt>
          <c:dPt>
            <c:idx val="26"/>
            <c:invertIfNegative val="0"/>
            <c:bubble3D val="0"/>
            <c:spPr>
              <a:solidFill>
                <a:srgbClr val="FF0000"/>
              </a:solidFill>
              <a:ln>
                <a:noFill/>
              </a:ln>
              <a:effectLst/>
            </c:spPr>
            <c:extLst>
              <c:ext xmlns:c16="http://schemas.microsoft.com/office/drawing/2014/chart" uri="{C3380CC4-5D6E-409C-BE32-E72D297353CC}">
                <c16:uniqueId val="{000000B1-A781-4D3F-9A98-A38D1BAFF702}"/>
              </c:ext>
            </c:extLst>
          </c:dPt>
          <c:dPt>
            <c:idx val="27"/>
            <c:invertIfNegative val="0"/>
            <c:bubble3D val="0"/>
            <c:spPr>
              <a:solidFill>
                <a:schemeClr val="accent2"/>
              </a:solidFill>
              <a:ln>
                <a:noFill/>
              </a:ln>
              <a:effectLst/>
            </c:spPr>
            <c:extLst>
              <c:ext xmlns:c16="http://schemas.microsoft.com/office/drawing/2014/chart" uri="{C3380CC4-5D6E-409C-BE32-E72D297353CC}">
                <c16:uniqueId val="{000000B3-A781-4D3F-9A98-A38D1BAFF702}"/>
              </c:ext>
            </c:extLst>
          </c:dPt>
          <c:dPt>
            <c:idx val="28"/>
            <c:invertIfNegative val="0"/>
            <c:bubble3D val="0"/>
            <c:spPr>
              <a:solidFill>
                <a:schemeClr val="accent4"/>
              </a:solidFill>
              <a:ln>
                <a:noFill/>
              </a:ln>
              <a:effectLst/>
            </c:spPr>
            <c:extLst>
              <c:ext xmlns:c16="http://schemas.microsoft.com/office/drawing/2014/chart" uri="{C3380CC4-5D6E-409C-BE32-E72D297353CC}">
                <c16:uniqueId val="{000000B5-A781-4D3F-9A98-A38D1BAFF702}"/>
              </c:ext>
            </c:extLst>
          </c:dPt>
          <c:dPt>
            <c:idx val="31"/>
            <c:invertIfNegative val="0"/>
            <c:bubble3D val="0"/>
            <c:spPr>
              <a:solidFill>
                <a:srgbClr val="FF0000"/>
              </a:solidFill>
              <a:ln>
                <a:noFill/>
              </a:ln>
              <a:effectLst/>
            </c:spPr>
            <c:extLst>
              <c:ext xmlns:c16="http://schemas.microsoft.com/office/drawing/2014/chart" uri="{C3380CC4-5D6E-409C-BE32-E72D297353CC}">
                <c16:uniqueId val="{000000B7-A781-4D3F-9A98-A38D1BAFF702}"/>
              </c:ext>
            </c:extLst>
          </c:dPt>
          <c:dPt>
            <c:idx val="32"/>
            <c:invertIfNegative val="0"/>
            <c:bubble3D val="0"/>
            <c:spPr>
              <a:solidFill>
                <a:schemeClr val="accent2"/>
              </a:solidFill>
              <a:ln>
                <a:noFill/>
              </a:ln>
              <a:effectLst/>
            </c:spPr>
            <c:extLst>
              <c:ext xmlns:c16="http://schemas.microsoft.com/office/drawing/2014/chart" uri="{C3380CC4-5D6E-409C-BE32-E72D297353CC}">
                <c16:uniqueId val="{000000B9-A781-4D3F-9A98-A38D1BAFF702}"/>
              </c:ext>
            </c:extLst>
          </c:dPt>
          <c:dPt>
            <c:idx val="33"/>
            <c:invertIfNegative val="0"/>
            <c:bubble3D val="0"/>
            <c:spPr>
              <a:solidFill>
                <a:schemeClr val="accent4"/>
              </a:solidFill>
              <a:ln>
                <a:noFill/>
              </a:ln>
              <a:effectLst/>
            </c:spPr>
            <c:extLst>
              <c:ext xmlns:c16="http://schemas.microsoft.com/office/drawing/2014/chart" uri="{C3380CC4-5D6E-409C-BE32-E72D297353CC}">
                <c16:uniqueId val="{000000BB-A781-4D3F-9A98-A38D1BAFF702}"/>
              </c:ext>
            </c:extLst>
          </c:dPt>
          <c:dPt>
            <c:idx val="36"/>
            <c:invertIfNegative val="0"/>
            <c:bubble3D val="0"/>
            <c:spPr>
              <a:solidFill>
                <a:srgbClr val="FF0000"/>
              </a:solidFill>
              <a:ln>
                <a:noFill/>
              </a:ln>
              <a:effectLst/>
            </c:spPr>
            <c:extLst>
              <c:ext xmlns:c16="http://schemas.microsoft.com/office/drawing/2014/chart" uri="{C3380CC4-5D6E-409C-BE32-E72D297353CC}">
                <c16:uniqueId val="{000000BD-A781-4D3F-9A98-A38D1BAFF702}"/>
              </c:ext>
            </c:extLst>
          </c:dPt>
          <c:dPt>
            <c:idx val="37"/>
            <c:invertIfNegative val="0"/>
            <c:bubble3D val="0"/>
            <c:spPr>
              <a:solidFill>
                <a:schemeClr val="accent2"/>
              </a:solidFill>
              <a:ln>
                <a:noFill/>
              </a:ln>
              <a:effectLst/>
            </c:spPr>
            <c:extLst>
              <c:ext xmlns:c16="http://schemas.microsoft.com/office/drawing/2014/chart" uri="{C3380CC4-5D6E-409C-BE32-E72D297353CC}">
                <c16:uniqueId val="{000000BF-A781-4D3F-9A98-A38D1BAFF702}"/>
              </c:ext>
            </c:extLst>
          </c:dPt>
          <c:dPt>
            <c:idx val="38"/>
            <c:invertIfNegative val="0"/>
            <c:bubble3D val="0"/>
            <c:spPr>
              <a:solidFill>
                <a:schemeClr val="accent4"/>
              </a:solidFill>
              <a:ln>
                <a:noFill/>
              </a:ln>
              <a:effectLst/>
            </c:spPr>
            <c:extLst>
              <c:ext xmlns:c16="http://schemas.microsoft.com/office/drawing/2014/chart" uri="{C3380CC4-5D6E-409C-BE32-E72D297353CC}">
                <c16:uniqueId val="{000000C1-A781-4D3F-9A98-A38D1BAFF702}"/>
              </c:ext>
            </c:extLst>
          </c:dPt>
          <c:dPt>
            <c:idx val="41"/>
            <c:invertIfNegative val="0"/>
            <c:bubble3D val="0"/>
            <c:spPr>
              <a:solidFill>
                <a:srgbClr val="FF0000"/>
              </a:solidFill>
              <a:ln>
                <a:noFill/>
              </a:ln>
              <a:effectLst/>
            </c:spPr>
            <c:extLst>
              <c:ext xmlns:c16="http://schemas.microsoft.com/office/drawing/2014/chart" uri="{C3380CC4-5D6E-409C-BE32-E72D297353CC}">
                <c16:uniqueId val="{000000C3-A781-4D3F-9A98-A38D1BAFF702}"/>
              </c:ext>
            </c:extLst>
          </c:dPt>
          <c:dPt>
            <c:idx val="42"/>
            <c:invertIfNegative val="0"/>
            <c:bubble3D val="0"/>
            <c:spPr>
              <a:solidFill>
                <a:schemeClr val="accent2"/>
              </a:solidFill>
              <a:ln>
                <a:noFill/>
              </a:ln>
              <a:effectLst/>
            </c:spPr>
            <c:extLst>
              <c:ext xmlns:c16="http://schemas.microsoft.com/office/drawing/2014/chart" uri="{C3380CC4-5D6E-409C-BE32-E72D297353CC}">
                <c16:uniqueId val="{000000C5-A781-4D3F-9A98-A38D1BAFF702}"/>
              </c:ext>
            </c:extLst>
          </c:dPt>
          <c:dPt>
            <c:idx val="43"/>
            <c:invertIfNegative val="0"/>
            <c:bubble3D val="0"/>
            <c:spPr>
              <a:solidFill>
                <a:schemeClr val="accent4"/>
              </a:solidFill>
              <a:ln>
                <a:noFill/>
              </a:ln>
              <a:effectLst/>
            </c:spPr>
            <c:extLst>
              <c:ext xmlns:c16="http://schemas.microsoft.com/office/drawing/2014/chart" uri="{C3380CC4-5D6E-409C-BE32-E72D297353CC}">
                <c16:uniqueId val="{000000C7-A781-4D3F-9A98-A38D1BAFF702}"/>
              </c:ext>
            </c:extLst>
          </c:dPt>
          <c:dPt>
            <c:idx val="46"/>
            <c:invertIfNegative val="0"/>
            <c:bubble3D val="0"/>
            <c:spPr>
              <a:solidFill>
                <a:srgbClr val="FF0000"/>
              </a:solidFill>
              <a:ln>
                <a:noFill/>
              </a:ln>
              <a:effectLst/>
            </c:spPr>
            <c:extLst>
              <c:ext xmlns:c16="http://schemas.microsoft.com/office/drawing/2014/chart" uri="{C3380CC4-5D6E-409C-BE32-E72D297353CC}">
                <c16:uniqueId val="{000000C9-A781-4D3F-9A98-A38D1BAFF702}"/>
              </c:ext>
            </c:extLst>
          </c:dPt>
          <c:dPt>
            <c:idx val="47"/>
            <c:invertIfNegative val="0"/>
            <c:bubble3D val="0"/>
            <c:spPr>
              <a:solidFill>
                <a:schemeClr val="accent2"/>
              </a:solidFill>
              <a:ln>
                <a:noFill/>
              </a:ln>
              <a:effectLst/>
            </c:spPr>
            <c:extLst>
              <c:ext xmlns:c16="http://schemas.microsoft.com/office/drawing/2014/chart" uri="{C3380CC4-5D6E-409C-BE32-E72D297353CC}">
                <c16:uniqueId val="{000000CB-A781-4D3F-9A98-A38D1BAFF702}"/>
              </c:ext>
            </c:extLst>
          </c:dPt>
          <c:dPt>
            <c:idx val="48"/>
            <c:invertIfNegative val="0"/>
            <c:bubble3D val="0"/>
            <c:spPr>
              <a:solidFill>
                <a:schemeClr val="accent4"/>
              </a:solidFill>
              <a:ln>
                <a:noFill/>
              </a:ln>
              <a:effectLst/>
            </c:spPr>
            <c:extLst>
              <c:ext xmlns:c16="http://schemas.microsoft.com/office/drawing/2014/chart" uri="{C3380CC4-5D6E-409C-BE32-E72D297353CC}">
                <c16:uniqueId val="{000000CD-A781-4D3F-9A98-A38D1BAFF702}"/>
              </c:ext>
            </c:extLst>
          </c:dPt>
          <c:dPt>
            <c:idx val="51"/>
            <c:invertIfNegative val="0"/>
            <c:bubble3D val="0"/>
            <c:spPr>
              <a:solidFill>
                <a:srgbClr val="FF0000"/>
              </a:solidFill>
              <a:ln>
                <a:noFill/>
              </a:ln>
              <a:effectLst/>
            </c:spPr>
            <c:extLst>
              <c:ext xmlns:c16="http://schemas.microsoft.com/office/drawing/2014/chart" uri="{C3380CC4-5D6E-409C-BE32-E72D297353CC}">
                <c16:uniqueId val="{000000CF-A781-4D3F-9A98-A38D1BAFF702}"/>
              </c:ext>
            </c:extLst>
          </c:dPt>
          <c:dPt>
            <c:idx val="52"/>
            <c:invertIfNegative val="0"/>
            <c:bubble3D val="0"/>
            <c:spPr>
              <a:solidFill>
                <a:schemeClr val="accent2"/>
              </a:solidFill>
              <a:ln>
                <a:noFill/>
              </a:ln>
              <a:effectLst/>
            </c:spPr>
            <c:extLst>
              <c:ext xmlns:c16="http://schemas.microsoft.com/office/drawing/2014/chart" uri="{C3380CC4-5D6E-409C-BE32-E72D297353CC}">
                <c16:uniqueId val="{000000D1-A781-4D3F-9A98-A38D1BAFF702}"/>
              </c:ext>
            </c:extLst>
          </c:dPt>
          <c:dPt>
            <c:idx val="53"/>
            <c:invertIfNegative val="0"/>
            <c:bubble3D val="0"/>
            <c:spPr>
              <a:solidFill>
                <a:schemeClr val="accent4"/>
              </a:solidFill>
              <a:ln>
                <a:noFill/>
              </a:ln>
              <a:effectLst/>
            </c:spPr>
            <c:extLst>
              <c:ext xmlns:c16="http://schemas.microsoft.com/office/drawing/2014/chart" uri="{C3380CC4-5D6E-409C-BE32-E72D297353CC}">
                <c16:uniqueId val="{000000D3-A781-4D3F-9A98-A38D1BAFF702}"/>
              </c:ext>
            </c:extLst>
          </c:dPt>
          <c:dPt>
            <c:idx val="56"/>
            <c:invertIfNegative val="0"/>
            <c:bubble3D val="0"/>
            <c:spPr>
              <a:solidFill>
                <a:srgbClr val="FF0000"/>
              </a:solidFill>
              <a:ln>
                <a:noFill/>
              </a:ln>
              <a:effectLst/>
            </c:spPr>
            <c:extLst>
              <c:ext xmlns:c16="http://schemas.microsoft.com/office/drawing/2014/chart" uri="{C3380CC4-5D6E-409C-BE32-E72D297353CC}">
                <c16:uniqueId val="{000000D5-A781-4D3F-9A98-A38D1BAFF702}"/>
              </c:ext>
            </c:extLst>
          </c:dPt>
          <c:dPt>
            <c:idx val="57"/>
            <c:invertIfNegative val="0"/>
            <c:bubble3D val="0"/>
            <c:spPr>
              <a:solidFill>
                <a:schemeClr val="accent2"/>
              </a:solidFill>
              <a:ln>
                <a:noFill/>
              </a:ln>
              <a:effectLst/>
            </c:spPr>
            <c:extLst>
              <c:ext xmlns:c16="http://schemas.microsoft.com/office/drawing/2014/chart" uri="{C3380CC4-5D6E-409C-BE32-E72D297353CC}">
                <c16:uniqueId val="{000000D7-A781-4D3F-9A98-A38D1BAFF702}"/>
              </c:ext>
            </c:extLst>
          </c:dPt>
          <c:dPt>
            <c:idx val="58"/>
            <c:invertIfNegative val="0"/>
            <c:bubble3D val="0"/>
            <c:spPr>
              <a:solidFill>
                <a:schemeClr val="accent4"/>
              </a:solidFill>
              <a:ln>
                <a:noFill/>
              </a:ln>
              <a:effectLst/>
            </c:spPr>
            <c:extLst>
              <c:ext xmlns:c16="http://schemas.microsoft.com/office/drawing/2014/chart" uri="{C3380CC4-5D6E-409C-BE32-E72D297353CC}">
                <c16:uniqueId val="{000000D9-A781-4D3F-9A98-A38D1BAFF702}"/>
              </c:ext>
            </c:extLst>
          </c:dPt>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Calculations!$N$52:$N$111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A-A781-4D3F-9A98-A38D1BAFF702}"/>
            </c:ext>
          </c:extLst>
        </c:ser>
        <c:ser>
          <c:idx val="3"/>
          <c:order val="3"/>
          <c:spPr>
            <a:solidFill>
              <a:srgbClr val="E2E2E2"/>
            </a:solidFill>
            <a:ln>
              <a:noFill/>
            </a:ln>
            <a:effectLst/>
          </c:spPr>
          <c:invertIfNegative val="0"/>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Calculations!$O$52:$O$111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B-A781-4D3F-9A98-A38D1BAFF702}"/>
            </c:ext>
          </c:extLst>
        </c:ser>
        <c:ser>
          <c:idx val="4"/>
          <c:order val="4"/>
          <c:spPr>
            <a:solidFill>
              <a:srgbClr val="EEEEEE"/>
            </a:solidFill>
            <a:ln>
              <a:noFill/>
            </a:ln>
            <a:effectLst/>
          </c:spPr>
          <c:invertIfNegative val="0"/>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Calculations!$P$52:$P$111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C-A781-4D3F-9A98-A38D1BAFF702}"/>
            </c:ext>
          </c:extLst>
        </c:ser>
        <c:ser>
          <c:idx val="5"/>
          <c:order val="5"/>
          <c:spPr>
            <a:solidFill>
              <a:srgbClr val="D1D1D1"/>
            </a:solidFill>
            <a:ln>
              <a:noFill/>
            </a:ln>
            <a:effectLst/>
          </c:spPr>
          <c:invertIfNegative val="0"/>
          <c:cat>
            <c:numRef>
              <c:f>Calculations!$C$52:$C$111</c:f>
              <c:numCache>
                <c:formatCode>mmm</c:formatCode>
                <c:ptCount val="60"/>
                <c:pt idx="0">
                  <c:v>46023</c:v>
                </c:pt>
                <c:pt idx="5">
                  <c:v>46054</c:v>
                </c:pt>
                <c:pt idx="10">
                  <c:v>46082</c:v>
                </c:pt>
                <c:pt idx="15">
                  <c:v>46113</c:v>
                </c:pt>
                <c:pt idx="20">
                  <c:v>46143</c:v>
                </c:pt>
                <c:pt idx="25">
                  <c:v>46174</c:v>
                </c:pt>
                <c:pt idx="30">
                  <c:v>46204</c:v>
                </c:pt>
                <c:pt idx="35">
                  <c:v>46235</c:v>
                </c:pt>
                <c:pt idx="40">
                  <c:v>46266</c:v>
                </c:pt>
                <c:pt idx="45">
                  <c:v>46296</c:v>
                </c:pt>
                <c:pt idx="50">
                  <c:v>46327</c:v>
                </c:pt>
                <c:pt idx="55">
                  <c:v>46357</c:v>
                </c:pt>
              </c:numCache>
            </c:numRef>
          </c:cat>
          <c:val>
            <c:numRef>
              <c:f>Calculations!$Q$52:$Q$111</c:f>
              <c:numCache>
                <c:formatCode>_-* #,##0\ [$€-407]_-;\-* #,##0\ [$€-407]_-;_-* "-"??\ [$€-407]_-;_-@_-</c:formatCode>
                <c:ptCount val="60"/>
                <c:pt idx="0">
                  <c:v>#N/A</c:v>
                </c:pt>
                <c:pt idx="1">
                  <c:v>#N/A</c:v>
                </c:pt>
                <c:pt idx="2">
                  <c:v>#N/A</c:v>
                </c:pt>
                <c:pt idx="3">
                  <c:v>#N/A</c:v>
                </c:pt>
                <c:pt idx="5">
                  <c:v>#N/A</c:v>
                </c:pt>
                <c:pt idx="6">
                  <c:v>#N/A</c:v>
                </c:pt>
                <c:pt idx="7">
                  <c:v>#N/A</c:v>
                </c:pt>
                <c:pt idx="8">
                  <c:v>#N/A</c:v>
                </c:pt>
                <c:pt idx="10">
                  <c:v>#N/A</c:v>
                </c:pt>
                <c:pt idx="11">
                  <c:v>#N/A</c:v>
                </c:pt>
                <c:pt idx="12">
                  <c:v>#N/A</c:v>
                </c:pt>
                <c:pt idx="13">
                  <c:v>#N/A</c:v>
                </c:pt>
                <c:pt idx="15">
                  <c:v>#N/A</c:v>
                </c:pt>
                <c:pt idx="16">
                  <c:v>#N/A</c:v>
                </c:pt>
                <c:pt idx="17">
                  <c:v>#N/A</c:v>
                </c:pt>
                <c:pt idx="18">
                  <c:v>#N/A</c:v>
                </c:pt>
                <c:pt idx="20">
                  <c:v>#N/A</c:v>
                </c:pt>
                <c:pt idx="21">
                  <c:v>#N/A</c:v>
                </c:pt>
                <c:pt idx="22">
                  <c:v>#N/A</c:v>
                </c:pt>
                <c:pt idx="23">
                  <c:v>#N/A</c:v>
                </c:pt>
                <c:pt idx="25">
                  <c:v>#N/A</c:v>
                </c:pt>
                <c:pt idx="26">
                  <c:v>#N/A</c:v>
                </c:pt>
                <c:pt idx="27">
                  <c:v>#N/A</c:v>
                </c:pt>
                <c:pt idx="28">
                  <c:v>#N/A</c:v>
                </c:pt>
                <c:pt idx="30">
                  <c:v>#N/A</c:v>
                </c:pt>
                <c:pt idx="31">
                  <c:v>#N/A</c:v>
                </c:pt>
                <c:pt idx="32">
                  <c:v>#N/A</c:v>
                </c:pt>
                <c:pt idx="33">
                  <c:v>#N/A</c:v>
                </c:pt>
                <c:pt idx="35">
                  <c:v>#N/A</c:v>
                </c:pt>
                <c:pt idx="36">
                  <c:v>#N/A</c:v>
                </c:pt>
                <c:pt idx="37">
                  <c:v>#N/A</c:v>
                </c:pt>
                <c:pt idx="38">
                  <c:v>#N/A</c:v>
                </c:pt>
                <c:pt idx="40">
                  <c:v>#N/A</c:v>
                </c:pt>
                <c:pt idx="41">
                  <c:v>#N/A</c:v>
                </c:pt>
                <c:pt idx="42">
                  <c:v>#N/A</c:v>
                </c:pt>
                <c:pt idx="43">
                  <c:v>#N/A</c:v>
                </c:pt>
                <c:pt idx="45">
                  <c:v>#N/A</c:v>
                </c:pt>
                <c:pt idx="46">
                  <c:v>#N/A</c:v>
                </c:pt>
                <c:pt idx="47">
                  <c:v>#N/A</c:v>
                </c:pt>
                <c:pt idx="48">
                  <c:v>#N/A</c:v>
                </c:pt>
                <c:pt idx="50">
                  <c:v>#N/A</c:v>
                </c:pt>
                <c:pt idx="51">
                  <c:v>#N/A</c:v>
                </c:pt>
                <c:pt idx="52">
                  <c:v>#N/A</c:v>
                </c:pt>
                <c:pt idx="53">
                  <c:v>#N/A</c:v>
                </c:pt>
                <c:pt idx="55">
                  <c:v>#N/A</c:v>
                </c:pt>
                <c:pt idx="56">
                  <c:v>#N/A</c:v>
                </c:pt>
                <c:pt idx="57">
                  <c:v>#N/A</c:v>
                </c:pt>
                <c:pt idx="58">
                  <c:v>#N/A</c:v>
                </c:pt>
              </c:numCache>
            </c:numRef>
          </c:val>
          <c:extLst>
            <c:ext xmlns:c16="http://schemas.microsoft.com/office/drawing/2014/chart" uri="{C3380CC4-5D6E-409C-BE32-E72D297353CC}">
              <c16:uniqueId val="{000000DD-A781-4D3F-9A98-A38D1BAFF702}"/>
            </c:ext>
          </c:extLst>
        </c:ser>
        <c:dLbls>
          <c:showLegendKey val="0"/>
          <c:showVal val="0"/>
          <c:showCatName val="0"/>
          <c:showSerName val="0"/>
          <c:showPercent val="0"/>
          <c:showBubbleSize val="0"/>
        </c:dLbls>
        <c:gapWidth val="15"/>
        <c:overlap val="100"/>
        <c:axId val="1214091568"/>
        <c:axId val="1214090608"/>
      </c:barChart>
      <c:catAx>
        <c:axId val="1214091568"/>
        <c:scaling>
          <c:orientation val="minMax"/>
        </c:scaling>
        <c:delete val="0"/>
        <c:axPos val="b"/>
        <c:numFmt formatCode="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1214090608"/>
        <c:crosses val="autoZero"/>
        <c:auto val="0"/>
        <c:lblAlgn val="ctr"/>
        <c:lblOffset val="100"/>
        <c:noMultiLvlLbl val="0"/>
      </c:catAx>
      <c:valAx>
        <c:axId val="1214090608"/>
        <c:scaling>
          <c:orientation val="minMax"/>
        </c:scaling>
        <c:delete val="0"/>
        <c:axPos val="l"/>
        <c:numFmt formatCode="_-* #,##0\ [$€-407]_-;\-* #,##0\ [$€-407]_-;_-* &quot;-&quot;??\ [$€-407]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14091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bg1">
                <a:lumMod val="75000"/>
              </a:schemeClr>
            </a:solidFill>
            <a:ln>
              <a:noFill/>
            </a:ln>
            <a:effectLst/>
          </c:spPr>
          <c:invertIfNegative val="0"/>
          <c:val>
            <c:numRef>
              <c:f>Calculations!$D$24</c:f>
              <c:numCache>
                <c:formatCode>0%</c:formatCode>
                <c:ptCount val="1"/>
                <c:pt idx="0">
                  <c:v>0.45161290322580644</c:v>
                </c:pt>
              </c:numCache>
            </c:numRef>
          </c:val>
          <c:extLst>
            <c:ext xmlns:c16="http://schemas.microsoft.com/office/drawing/2014/chart" uri="{C3380CC4-5D6E-409C-BE32-E72D297353CC}">
              <c16:uniqueId val="{00000000-4DE6-4E33-BA23-C950AC48F810}"/>
            </c:ext>
          </c:extLst>
        </c:ser>
        <c:dLbls>
          <c:showLegendKey val="0"/>
          <c:showVal val="0"/>
          <c:showCatName val="0"/>
          <c:showSerName val="0"/>
          <c:showPercent val="0"/>
          <c:showBubbleSize val="0"/>
        </c:dLbls>
        <c:gapWidth val="0"/>
        <c:axId val="330624336"/>
        <c:axId val="330616176"/>
      </c:barChart>
      <c:catAx>
        <c:axId val="330624336"/>
        <c:scaling>
          <c:orientation val="minMax"/>
        </c:scaling>
        <c:delete val="1"/>
        <c:axPos val="l"/>
        <c:majorTickMark val="none"/>
        <c:minorTickMark val="none"/>
        <c:tickLblPos val="nextTo"/>
        <c:crossAx val="330616176"/>
        <c:crosses val="autoZero"/>
        <c:auto val="1"/>
        <c:lblAlgn val="ctr"/>
        <c:lblOffset val="100"/>
        <c:noMultiLvlLbl val="0"/>
      </c:catAx>
      <c:valAx>
        <c:axId val="330616176"/>
        <c:scaling>
          <c:orientation val="minMax"/>
          <c:max val="1"/>
        </c:scaling>
        <c:delete val="1"/>
        <c:axPos val="b"/>
        <c:numFmt formatCode="0%" sourceLinked="1"/>
        <c:majorTickMark val="none"/>
        <c:minorTickMark val="none"/>
        <c:tickLblPos val="nextTo"/>
        <c:crossAx val="330624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006467655462006E-2"/>
          <c:y val="1.397587706116888E-2"/>
          <c:w val="0.90906009447004776"/>
          <c:h val="0.85497866201839279"/>
        </c:manualLayout>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extLst>
                <c:ext xmlns:c15="http://schemas.microsoft.com/office/drawing/2012/chart" uri="{02D57815-91ED-43cb-92C2-25804820EDAC}">
                  <c15:fullRef>
                    <c15:sqref>Calculations!$S$53:$S$58</c15:sqref>
                  </c15:fullRef>
                </c:ext>
              </c:extLst>
              <c:f>Calculations!$S$53:$S$57</c:f>
              <c:numCache>
                <c:formatCode>General</c:formatCode>
                <c:ptCount val="5"/>
              </c:numCache>
            </c:numRef>
          </c:cat>
          <c:val>
            <c:numRef>
              <c:extLst>
                <c:ext xmlns:c15="http://schemas.microsoft.com/office/drawing/2012/chart" uri="{02D57815-91ED-43cb-92C2-25804820EDAC}">
                  <c15:fullRef>
                    <c15:sqref>Calculations!$T$53:$T$58</c15:sqref>
                  </c15:fullRef>
                </c:ext>
              </c:extLst>
              <c:f>Calculations!$T$53:$T$57</c:f>
              <c:numCache>
                <c:formatCode>#,##0.00\ "€"</c:formatCode>
                <c:ptCount val="5"/>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8653-49C5-86B5-EB88A814B9F6}"/>
            </c:ext>
          </c:extLst>
        </c:ser>
        <c:ser>
          <c:idx val="1"/>
          <c:order val="1"/>
          <c:spPr>
            <a:ln w="28575" cap="rnd">
              <a:solidFill>
                <a:srgbClr val="FF0000"/>
              </a:solidFill>
              <a:round/>
            </a:ln>
            <a:effectLst/>
          </c:spPr>
          <c:marker>
            <c:symbol val="circle"/>
            <c:size val="5"/>
            <c:spPr>
              <a:solidFill>
                <a:srgbClr val="FF0000"/>
              </a:solidFill>
              <a:ln w="9525">
                <a:solidFill>
                  <a:srgbClr val="FF0000"/>
                </a:solidFill>
              </a:ln>
              <a:effectLst/>
            </c:spPr>
          </c:marker>
          <c:cat>
            <c:numRef>
              <c:extLst>
                <c:ext xmlns:c15="http://schemas.microsoft.com/office/drawing/2012/chart" uri="{02D57815-91ED-43cb-92C2-25804820EDAC}">
                  <c15:fullRef>
                    <c15:sqref>Calculations!$S$53:$S$58</c15:sqref>
                  </c15:fullRef>
                </c:ext>
              </c:extLst>
              <c:f>Calculations!$S$53:$S$57</c:f>
              <c:numCache>
                <c:formatCode>General</c:formatCode>
                <c:ptCount val="5"/>
              </c:numCache>
            </c:numRef>
          </c:cat>
          <c:val>
            <c:numRef>
              <c:extLst>
                <c:ext xmlns:c15="http://schemas.microsoft.com/office/drawing/2012/chart" uri="{02D57815-91ED-43cb-92C2-25804820EDAC}">
                  <c15:fullRef>
                    <c15:sqref>Calculations!$U$53:$U$58</c15:sqref>
                  </c15:fullRef>
                </c:ext>
              </c:extLst>
              <c:f>Calculations!$U$53:$U$57</c:f>
              <c:numCache>
                <c:formatCode>#,##0.00\ "€"</c:formatCode>
                <c:ptCount val="5"/>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1-8653-49C5-86B5-EB88A814B9F6}"/>
            </c:ext>
          </c:extLst>
        </c:ser>
        <c:ser>
          <c:idx val="2"/>
          <c:order val="2"/>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xmlns:c15="http://schemas.microsoft.com/office/drawing/2012/chart" uri="{02D57815-91ED-43cb-92C2-25804820EDAC}">
                  <c15:fullRef>
                    <c15:sqref>Calculations!$S$53:$S$58</c15:sqref>
                  </c15:fullRef>
                </c:ext>
              </c:extLst>
              <c:f>Calculations!$S$53:$S$57</c:f>
              <c:numCache>
                <c:formatCode>General</c:formatCode>
                <c:ptCount val="5"/>
              </c:numCache>
            </c:numRef>
          </c:cat>
          <c:val>
            <c:numRef>
              <c:extLst>
                <c:ext xmlns:c15="http://schemas.microsoft.com/office/drawing/2012/chart" uri="{02D57815-91ED-43cb-92C2-25804820EDAC}">
                  <c15:fullRef>
                    <c15:sqref>Calculations!$V$53:$V$58</c15:sqref>
                  </c15:fullRef>
                </c:ext>
              </c:extLst>
              <c:f>Calculations!$V$53:$V$57</c:f>
              <c:numCache>
                <c:formatCode>#,##0.00\ "€"</c:formatCode>
                <c:ptCount val="5"/>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2-8653-49C5-86B5-EB88A814B9F6}"/>
            </c:ext>
          </c:extLst>
        </c:ser>
        <c:ser>
          <c:idx val="4"/>
          <c:order val="4"/>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extLst>
                <c:ext xmlns:c15="http://schemas.microsoft.com/office/drawing/2012/chart" uri="{02D57815-91ED-43cb-92C2-25804820EDAC}">
                  <c15:fullRef>
                    <c15:sqref>Calculations!$S$53:$S$58</c15:sqref>
                  </c15:fullRef>
                </c:ext>
              </c:extLst>
              <c:f>Calculations!$S$53:$S$57</c:f>
              <c:numCache>
                <c:formatCode>General</c:formatCode>
                <c:ptCount val="5"/>
              </c:numCache>
            </c:numRef>
          </c:cat>
          <c:val>
            <c:numRef>
              <c:extLst>
                <c:ext xmlns:c15="http://schemas.microsoft.com/office/drawing/2012/chart" uri="{02D57815-91ED-43cb-92C2-25804820EDAC}">
                  <c15:fullRef>
                    <c15:sqref>Calculations!$X$53:$X$58</c15:sqref>
                  </c15:fullRef>
                </c:ext>
              </c:extLst>
              <c:f>Calculations!$X$53:$X$57</c:f>
              <c:numCache>
                <c:formatCode>#,##0.00\ "€"</c:formatCode>
                <c:ptCount val="5"/>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3-8653-49C5-86B5-EB88A814B9F6}"/>
            </c:ext>
          </c:extLst>
        </c:ser>
        <c:dLbls>
          <c:showLegendKey val="0"/>
          <c:showVal val="0"/>
          <c:showCatName val="0"/>
          <c:showSerName val="0"/>
          <c:showPercent val="0"/>
          <c:showBubbleSize val="0"/>
        </c:dLbls>
        <c:marker val="1"/>
        <c:smooth val="0"/>
        <c:axId val="32438223"/>
        <c:axId val="32440143"/>
        <c:extLst>
          <c:ext xmlns:c15="http://schemas.microsoft.com/office/drawing/2012/chart" uri="{02D57815-91ED-43cb-92C2-25804820EDAC}">
            <c15:filteredLineSeries>
              <c15: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extLst>
                      <c:ext uri="{02D57815-91ED-43cb-92C2-25804820EDAC}">
                        <c15:fullRef>
                          <c15:sqref>Calculations!$S$53:$S$58</c15:sqref>
                        </c15:fullRef>
                        <c15:formulaRef>
                          <c15:sqref>Calculations!$S$53:$S$57</c15:sqref>
                        </c15:formulaRef>
                      </c:ext>
                    </c:extLst>
                    <c:numCache>
                      <c:formatCode>General</c:formatCode>
                      <c:ptCount val="5"/>
                    </c:numCache>
                  </c:numRef>
                </c:cat>
                <c:val>
                  <c:numRef>
                    <c:extLst>
                      <c:ext uri="{02D57815-91ED-43cb-92C2-25804820EDAC}">
                        <c15:fullRef>
                          <c15:sqref>Calculations!$W$53:$W$58</c15:sqref>
                        </c15:fullRef>
                        <c15:formulaRef>
                          <c15:sqref>Calculations!$W$53:$W$57</c15:sqref>
                        </c15:formulaRef>
                      </c:ext>
                    </c:extLst>
                    <c:numCache>
                      <c:formatCode>#,##0.00\ "€"</c:formatCode>
                      <c:ptCount val="5"/>
                    </c:numCache>
                  </c:numRef>
                </c:val>
                <c:smooth val="0"/>
                <c:extLst>
                  <c:ex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4-8653-49C5-86B5-EB88A814B9F6}"/>
                  </c:ext>
                </c:extLst>
              </c15:ser>
            </c15:filteredLineSeries>
            <c15:filteredLineSeries>
              <c15: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extLst>
                      <c:ext xmlns:c15="http://schemas.microsoft.com/office/drawing/2012/chart" uri="{02D57815-91ED-43cb-92C2-25804820EDAC}">
                        <c15:fullRef>
                          <c15:sqref>Calculations!$S$53:$S$58</c15:sqref>
                        </c15:fullRef>
                        <c15:formulaRef>
                          <c15:sqref>Calculations!$S$53:$S$57</c15:sqref>
                        </c15:formulaRef>
                      </c:ext>
                    </c:extLst>
                    <c:numCache>
                      <c:formatCode>General</c:formatCode>
                      <c:ptCount val="5"/>
                    </c:numCache>
                  </c:numRef>
                </c:cat>
                <c:val>
                  <c:numRef>
                    <c:extLst>
                      <c:ext xmlns:c15="http://schemas.microsoft.com/office/drawing/2012/chart" uri="{02D57815-91ED-43cb-92C2-25804820EDAC}">
                        <c15:fullRef>
                          <c15:sqref>Calculations!$Y$53:$Y$58</c15:sqref>
                        </c15:fullRef>
                        <c15:formulaRef>
                          <c15:sqref>Calculations!$Y$53:$Y$57</c15:sqref>
                        </c15:formulaRef>
                      </c:ext>
                    </c:extLst>
                    <c:numCache>
                      <c:formatCode>#,##0.00\ "€"</c:formatCode>
                      <c:ptCount val="5"/>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5-8653-49C5-86B5-EB88A814B9F6}"/>
                  </c:ext>
                </c:extLst>
              </c15:ser>
            </c15:filteredLineSeries>
          </c:ext>
        </c:extLst>
      </c:lineChart>
      <c:catAx>
        <c:axId val="32438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2440143"/>
        <c:crosses val="autoZero"/>
        <c:auto val="1"/>
        <c:lblAlgn val="ctr"/>
        <c:lblOffset val="100"/>
        <c:noMultiLvlLbl val="0"/>
      </c:catAx>
      <c:valAx>
        <c:axId val="32440143"/>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2438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1"/>
    </mc:Choice>
    <mc:Fallback>
      <c:style val="1"/>
    </mc:Fallback>
  </mc:AlternateContent>
  <c:pivotSource>
    <c:name>[Finanzen_Template.xlsm]Calculations!PivotTable1</c:name>
    <c:fmtId val="4"/>
  </c:pivotSource>
  <c:chart>
    <c:autoTitleDeleted val="1"/>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solidFill>
              <a:schemeClr val="lt1"/>
            </a:solidFill>
          </a:ln>
          <a:effectLst/>
        </c:spPr>
      </c:pivotFmt>
      <c:pivotFmt>
        <c:idx val="6"/>
        <c:spPr>
          <a:solidFill>
            <a:schemeClr val="dk1">
              <a:tint val="88500"/>
            </a:schemeClr>
          </a:solidFill>
          <a:ln w="19050">
            <a:solidFill>
              <a:schemeClr val="lt1"/>
            </a:solidFill>
          </a:ln>
          <a:effectLst/>
        </c:spPr>
      </c:pivotFmt>
      <c:pivotFmt>
        <c:idx val="7"/>
        <c:spPr>
          <a:solidFill>
            <a:schemeClr val="dk1">
              <a:tint val="88500"/>
            </a:schemeClr>
          </a:solidFill>
          <a:ln w="19050">
            <a:solidFill>
              <a:schemeClr val="lt1"/>
            </a:solidFill>
          </a:ln>
          <a:effectLst/>
        </c:spPr>
      </c:pivotFmt>
      <c:pivotFmt>
        <c:idx val="8"/>
        <c:spPr>
          <a:solidFill>
            <a:schemeClr val="dk1">
              <a:tint val="88500"/>
            </a:schemeClr>
          </a:solidFill>
          <a:ln w="19050">
            <a:solidFill>
              <a:schemeClr val="lt1"/>
            </a:solidFill>
          </a:ln>
          <a:effectLst/>
        </c:spPr>
      </c:pivotFmt>
    </c:pivotFmts>
    <c:plotArea>
      <c:layout/>
      <c:doughnutChart>
        <c:varyColors val="1"/>
        <c:ser>
          <c:idx val="0"/>
          <c:order val="0"/>
          <c:tx>
            <c:strRef>
              <c:f>Calculations!$AB$54</c:f>
              <c:strCache>
                <c:ptCount val="1"/>
                <c:pt idx="0">
                  <c:v>Ergebnis</c:v>
                </c:pt>
              </c:strCache>
            </c:strRef>
          </c:tx>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4FBC-41EB-9359-D04D670C2702}"/>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1F21-4902-B6AA-807B3F29A401}"/>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5-1F21-4902-B6AA-807B3F29A401}"/>
              </c:ext>
            </c:extLst>
          </c:dPt>
          <c:cat>
            <c:strRef>
              <c:f>Calculations!$AA$55</c:f>
              <c:strCache>
                <c:ptCount val="1"/>
                <c:pt idx="0">
                  <c:v>Gesamtergebnis</c:v>
                </c:pt>
              </c:strCache>
            </c:strRef>
          </c:cat>
          <c:val>
            <c:numRef>
              <c:f>Calculations!$AB$55</c:f>
              <c:numCache>
                <c:formatCode>General</c:formatCode>
                <c:ptCount val="1"/>
              </c:numCache>
            </c:numRef>
          </c:val>
          <c:extLst>
            <c:ext xmlns:c16="http://schemas.microsoft.com/office/drawing/2014/chart" uri="{C3380CC4-5D6E-409C-BE32-E72D297353CC}">
              <c16:uniqueId val="{00000002-4FBC-41EB-9359-D04D670C270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D$45" lockText="1" noThreeD="1"/>
</file>

<file path=xl/ctrlProps/ctrlProp2.xml><?xml version="1.0" encoding="utf-8"?>
<formControlPr xmlns="http://schemas.microsoft.com/office/spreadsheetml/2009/9/main" objectType="CheckBox" checked="Checked" fmlaLink="Calculations!$D$46" lockText="1" noThreeD="1"/>
</file>

<file path=xl/ctrlProps/ctrlProp3.xml><?xml version="1.0" encoding="utf-8"?>
<formControlPr xmlns="http://schemas.microsoft.com/office/spreadsheetml/2009/9/main" objectType="CheckBox" checked="Checked" fmlaLink="Calculations!$D$47" lockText="1" noThreeD="1"/>
</file>

<file path=xl/ctrlProps/ctrlProp4.xml><?xml version="1.0" encoding="utf-8"?>
<formControlPr xmlns="http://schemas.microsoft.com/office/spreadsheetml/2009/9/main" objectType="CheckBox" checked="Checked" fmlaLink="Calculations!$D$48" lockText="1" noThreeD="1"/>
</file>

<file path=xl/ctrlProps/ctrlProp5.xml><?xml version="1.0" encoding="utf-8"?>
<formControlPr xmlns="http://schemas.microsoft.com/office/spreadsheetml/2009/9/main" objectType="CheckBox" checked="Checked" fmlaLink="Calculations!$D$49"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sv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image" Target="../media/image27.png"/></Relationships>
</file>

<file path=xl/drawings/_rels/drawing2.xml.rels><?xml version="1.0" encoding="UTF-8" standalone="yes"?>
<Relationships xmlns="http://schemas.openxmlformats.org/package/2006/relationships"><Relationship Id="rId8" Type="http://schemas.openxmlformats.org/officeDocument/2006/relationships/image" Target="../media/image33.svg"/><Relationship Id="rId13" Type="http://schemas.openxmlformats.org/officeDocument/2006/relationships/image" Target="../media/image3.png"/><Relationship Id="rId3" Type="http://schemas.openxmlformats.org/officeDocument/2006/relationships/image" Target="../media/image30.png"/><Relationship Id="rId7" Type="http://schemas.openxmlformats.org/officeDocument/2006/relationships/image" Target="../media/image5.png"/><Relationship Id="rId12" Type="http://schemas.openxmlformats.org/officeDocument/2006/relationships/image" Target="../media/image35.svg"/><Relationship Id="rId2" Type="http://schemas.openxmlformats.org/officeDocument/2006/relationships/image" Target="../media/image29.svg"/><Relationship Id="rId1" Type="http://schemas.openxmlformats.org/officeDocument/2006/relationships/image" Target="../media/image11.png"/><Relationship Id="rId6" Type="http://schemas.openxmlformats.org/officeDocument/2006/relationships/image" Target="../media/image32.svg"/><Relationship Id="rId11" Type="http://schemas.openxmlformats.org/officeDocument/2006/relationships/image" Target="../media/image1.png"/><Relationship Id="rId5" Type="http://schemas.openxmlformats.org/officeDocument/2006/relationships/image" Target="../media/image25.png"/><Relationship Id="rId10" Type="http://schemas.openxmlformats.org/officeDocument/2006/relationships/image" Target="../media/image34.svg"/><Relationship Id="rId4" Type="http://schemas.openxmlformats.org/officeDocument/2006/relationships/image" Target="../media/image31.svg"/><Relationship Id="rId9" Type="http://schemas.openxmlformats.org/officeDocument/2006/relationships/image" Target="../media/image7.png"/><Relationship Id="rId14" Type="http://schemas.openxmlformats.org/officeDocument/2006/relationships/image" Target="../media/image36.svg"/></Relationships>
</file>

<file path=xl/drawings/_rels/drawing3.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4.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6.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7.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8.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9.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31.svg"/><Relationship Id="rId1" Type="http://schemas.openxmlformats.org/officeDocument/2006/relationships/image" Target="../media/image30.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xdr:from>
      <xdr:col>0</xdr:col>
      <xdr:colOff>123825</xdr:colOff>
      <xdr:row>3</xdr:row>
      <xdr:rowOff>161924</xdr:rowOff>
    </xdr:from>
    <xdr:to>
      <xdr:col>31</xdr:col>
      <xdr:colOff>104775</xdr:colOff>
      <xdr:row>19</xdr:row>
      <xdr:rowOff>38099</xdr:rowOff>
    </xdr:to>
    <xdr:grpSp>
      <xdr:nvGrpSpPr>
        <xdr:cNvPr id="131" name="Gruppieren 130">
          <a:extLst>
            <a:ext uri="{FF2B5EF4-FFF2-40B4-BE49-F238E27FC236}">
              <a16:creationId xmlns:a16="http://schemas.microsoft.com/office/drawing/2014/main" id="{C3B0FA26-8E1E-9CFB-266D-178136BFC9C9}"/>
            </a:ext>
          </a:extLst>
        </xdr:cNvPr>
        <xdr:cNvGrpSpPr/>
      </xdr:nvGrpSpPr>
      <xdr:grpSpPr>
        <a:xfrm>
          <a:off x="123825" y="717095"/>
          <a:ext cx="22590579" cy="2837090"/>
          <a:chOff x="190500" y="733424"/>
          <a:chExt cx="23602950" cy="2924175"/>
        </a:xfrm>
      </xdr:grpSpPr>
      <xdr:sp macro="" textlink="">
        <xdr:nvSpPr>
          <xdr:cNvPr id="124" name="Rechteck: abgerundete Ecken 123">
            <a:extLst>
              <a:ext uri="{FF2B5EF4-FFF2-40B4-BE49-F238E27FC236}">
                <a16:creationId xmlns:a16="http://schemas.microsoft.com/office/drawing/2014/main" id="{A0384E8D-7231-5250-67DC-6B7E5AF2F697}"/>
              </a:ext>
            </a:extLst>
          </xdr:cNvPr>
          <xdr:cNvSpPr/>
        </xdr:nvSpPr>
        <xdr:spPr>
          <a:xfrm>
            <a:off x="190500" y="733424"/>
            <a:ext cx="23602950" cy="2924175"/>
          </a:xfrm>
          <a:prstGeom prst="roundRect">
            <a:avLst/>
          </a:prstGeom>
          <a:solidFill>
            <a:schemeClr val="accent6">
              <a:lumMod val="20000"/>
              <a:lumOff val="80000"/>
            </a:schemeClr>
          </a:solidFill>
          <a:ln w="47625">
            <a:solidFill>
              <a:schemeClr val="accent6">
                <a:lumMod val="40000"/>
                <a:lumOff val="60000"/>
                <a:alpha val="9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26" name="Rechteck: abgerundete Ecken 125">
            <a:extLst>
              <a:ext uri="{FF2B5EF4-FFF2-40B4-BE49-F238E27FC236}">
                <a16:creationId xmlns:a16="http://schemas.microsoft.com/office/drawing/2014/main" id="{A995E3E8-8AEC-9AAA-D24F-E11B2B4C1811}"/>
              </a:ext>
            </a:extLst>
          </xdr:cNvPr>
          <xdr:cNvSpPr/>
        </xdr:nvSpPr>
        <xdr:spPr>
          <a:xfrm>
            <a:off x="190500" y="1847849"/>
            <a:ext cx="2819400" cy="695325"/>
          </a:xfrm>
          <a:prstGeom prst="roundRect">
            <a:avLst/>
          </a:prstGeom>
          <a:solidFill>
            <a:schemeClr val="accent6">
              <a:lumMod val="40000"/>
              <a:lumOff val="6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Budget</a:t>
            </a:r>
          </a:p>
        </xdr:txBody>
      </xdr:sp>
    </xdr:grpSp>
    <xdr:clientData/>
  </xdr:twoCellAnchor>
  <xdr:twoCellAnchor>
    <xdr:from>
      <xdr:col>4</xdr:col>
      <xdr:colOff>566738</xdr:colOff>
      <xdr:row>4</xdr:row>
      <xdr:rowOff>117863</xdr:rowOff>
    </xdr:from>
    <xdr:to>
      <xdr:col>7</xdr:col>
      <xdr:colOff>538162</xdr:colOff>
      <xdr:row>17</xdr:row>
      <xdr:rowOff>85724</xdr:rowOff>
    </xdr:to>
    <xdr:grpSp>
      <xdr:nvGrpSpPr>
        <xdr:cNvPr id="130" name="Gruppieren 129">
          <a:extLst>
            <a:ext uri="{FF2B5EF4-FFF2-40B4-BE49-F238E27FC236}">
              <a16:creationId xmlns:a16="http://schemas.microsoft.com/office/drawing/2014/main" id="{AE562013-26C7-0F15-12DD-9D594AEB617D}"/>
            </a:ext>
          </a:extLst>
        </xdr:cNvPr>
        <xdr:cNvGrpSpPr/>
      </xdr:nvGrpSpPr>
      <xdr:grpSpPr>
        <a:xfrm>
          <a:off x="3484109" y="858092"/>
          <a:ext cx="2159453" cy="2373603"/>
          <a:chOff x="628651" y="937013"/>
          <a:chExt cx="2257424" cy="2444361"/>
        </a:xfrm>
      </xdr:grpSpPr>
      <xdr:sp macro="[0]!Budget_Planning_Navigation" textlink="">
        <xdr:nvSpPr>
          <xdr:cNvPr id="128" name="Rechteck: abgerundete Ecken 127">
            <a:extLst>
              <a:ext uri="{FF2B5EF4-FFF2-40B4-BE49-F238E27FC236}">
                <a16:creationId xmlns:a16="http://schemas.microsoft.com/office/drawing/2014/main" id="{9756E276-991F-A1C1-9BA6-6AA973EF1B5A}"/>
              </a:ext>
            </a:extLst>
          </xdr:cNvPr>
          <xdr:cNvSpPr/>
        </xdr:nvSpPr>
        <xdr:spPr>
          <a:xfrm>
            <a:off x="628651" y="937013"/>
            <a:ext cx="2257424" cy="2444361"/>
          </a:xfrm>
          <a:prstGeom prst="roundRect">
            <a:avLst/>
          </a:prstGeom>
          <a:solidFill>
            <a:schemeClr val="accent6">
              <a:lumMod val="40000"/>
              <a:lumOff val="6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Planning</a:t>
            </a:r>
          </a:p>
        </xdr:txBody>
      </xdr:sp>
      <xdr:pic macro="[0]!Budget_Planning_Navigation">
        <xdr:nvPicPr>
          <xdr:cNvPr id="129" name="Grafik 128" descr="Liste mit einfarbiger Füllung">
            <a:extLst>
              <a:ext uri="{FF2B5EF4-FFF2-40B4-BE49-F238E27FC236}">
                <a16:creationId xmlns:a16="http://schemas.microsoft.com/office/drawing/2014/main" id="{E1C7FC40-EB7B-F673-CA30-BDB4E5859D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44521" y="1727587"/>
            <a:ext cx="1425684" cy="1255497"/>
          </a:xfrm>
          <a:prstGeom prst="rect">
            <a:avLst/>
          </a:prstGeom>
        </xdr:spPr>
      </xdr:pic>
    </xdr:grpSp>
    <xdr:clientData/>
  </xdr:twoCellAnchor>
  <xdr:twoCellAnchor>
    <xdr:from>
      <xdr:col>0</xdr:col>
      <xdr:colOff>123825</xdr:colOff>
      <xdr:row>20</xdr:row>
      <xdr:rowOff>3174</xdr:rowOff>
    </xdr:from>
    <xdr:to>
      <xdr:col>31</xdr:col>
      <xdr:colOff>104775</xdr:colOff>
      <xdr:row>35</xdr:row>
      <xdr:rowOff>69849</xdr:rowOff>
    </xdr:to>
    <xdr:grpSp>
      <xdr:nvGrpSpPr>
        <xdr:cNvPr id="132" name="Gruppieren 131">
          <a:extLst>
            <a:ext uri="{FF2B5EF4-FFF2-40B4-BE49-F238E27FC236}">
              <a16:creationId xmlns:a16="http://schemas.microsoft.com/office/drawing/2014/main" id="{5888D7D2-06BD-494B-AEE3-5DD90A11F96E}"/>
            </a:ext>
          </a:extLst>
        </xdr:cNvPr>
        <xdr:cNvGrpSpPr/>
      </xdr:nvGrpSpPr>
      <xdr:grpSpPr>
        <a:xfrm>
          <a:off x="123825" y="3704317"/>
          <a:ext cx="22590579" cy="2842532"/>
          <a:chOff x="190500" y="733424"/>
          <a:chExt cx="23602950" cy="2924175"/>
        </a:xfrm>
        <a:solidFill>
          <a:srgbClr val="FFFF97"/>
        </a:solidFill>
      </xdr:grpSpPr>
      <xdr:sp macro="" textlink="">
        <xdr:nvSpPr>
          <xdr:cNvPr id="133" name="Rechteck: abgerundete Ecken 132">
            <a:extLst>
              <a:ext uri="{FF2B5EF4-FFF2-40B4-BE49-F238E27FC236}">
                <a16:creationId xmlns:a16="http://schemas.microsoft.com/office/drawing/2014/main" id="{A153E6F5-EBFC-2449-4A03-7304B9FEB3EF}"/>
              </a:ext>
            </a:extLst>
          </xdr:cNvPr>
          <xdr:cNvSpPr/>
        </xdr:nvSpPr>
        <xdr:spPr>
          <a:xfrm>
            <a:off x="190500" y="733424"/>
            <a:ext cx="23602950" cy="2924175"/>
          </a:xfrm>
          <a:prstGeom prst="roundRect">
            <a:avLst/>
          </a:prstGeom>
          <a:grpFill/>
          <a:ln w="47625">
            <a:solidFill>
              <a:srgbClr val="FFFF00">
                <a:alpha val="95000"/>
              </a:srgb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34" name="Rechteck: abgerundete Ecken 133">
            <a:extLst>
              <a:ext uri="{FF2B5EF4-FFF2-40B4-BE49-F238E27FC236}">
                <a16:creationId xmlns:a16="http://schemas.microsoft.com/office/drawing/2014/main" id="{BCD48A1E-E90E-E1F0-FA20-39660E812AFF}"/>
              </a:ext>
            </a:extLst>
          </xdr:cNvPr>
          <xdr:cNvSpPr/>
        </xdr:nvSpPr>
        <xdr:spPr>
          <a:xfrm>
            <a:off x="190500" y="1847849"/>
            <a:ext cx="2819400" cy="695325"/>
          </a:xfrm>
          <a:prstGeom prst="roundRect">
            <a:avLst/>
          </a:prstGeom>
          <a:solidFill>
            <a:srgbClr val="FFFF00"/>
          </a:solidFill>
          <a:ln>
            <a:solidFill>
              <a:srgbClr val="FFFF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Net Worth</a:t>
            </a:r>
          </a:p>
        </xdr:txBody>
      </xdr:sp>
    </xdr:grpSp>
    <xdr:clientData/>
  </xdr:twoCellAnchor>
  <xdr:twoCellAnchor>
    <xdr:from>
      <xdr:col>0</xdr:col>
      <xdr:colOff>123825</xdr:colOff>
      <xdr:row>36</xdr:row>
      <xdr:rowOff>34924</xdr:rowOff>
    </xdr:from>
    <xdr:to>
      <xdr:col>31</xdr:col>
      <xdr:colOff>104775</xdr:colOff>
      <xdr:row>51</xdr:row>
      <xdr:rowOff>101599</xdr:rowOff>
    </xdr:to>
    <xdr:grpSp>
      <xdr:nvGrpSpPr>
        <xdr:cNvPr id="135" name="Gruppieren 134">
          <a:extLst>
            <a:ext uri="{FF2B5EF4-FFF2-40B4-BE49-F238E27FC236}">
              <a16:creationId xmlns:a16="http://schemas.microsoft.com/office/drawing/2014/main" id="{C09AFB3A-8349-48BC-8C98-6C868BCC01EE}"/>
            </a:ext>
          </a:extLst>
        </xdr:cNvPr>
        <xdr:cNvGrpSpPr/>
      </xdr:nvGrpSpPr>
      <xdr:grpSpPr>
        <a:xfrm>
          <a:off x="123825" y="6696981"/>
          <a:ext cx="22590579" cy="2842532"/>
          <a:chOff x="190500" y="733424"/>
          <a:chExt cx="23602950" cy="2924175"/>
        </a:xfrm>
        <a:solidFill>
          <a:schemeClr val="accent4">
            <a:lumMod val="20000"/>
            <a:lumOff val="80000"/>
          </a:schemeClr>
        </a:solidFill>
      </xdr:grpSpPr>
      <xdr:sp macro="" textlink="">
        <xdr:nvSpPr>
          <xdr:cNvPr id="136" name="Rechteck: abgerundete Ecken 135">
            <a:extLst>
              <a:ext uri="{FF2B5EF4-FFF2-40B4-BE49-F238E27FC236}">
                <a16:creationId xmlns:a16="http://schemas.microsoft.com/office/drawing/2014/main" id="{019B97CD-EF68-75A9-408C-043FED6DDB5D}"/>
              </a:ext>
            </a:extLst>
          </xdr:cNvPr>
          <xdr:cNvSpPr/>
        </xdr:nvSpPr>
        <xdr:spPr>
          <a:xfrm>
            <a:off x="190500" y="733424"/>
            <a:ext cx="23602950" cy="2924175"/>
          </a:xfrm>
          <a:prstGeom prst="roundRect">
            <a:avLst/>
          </a:prstGeom>
          <a:grpFill/>
          <a:ln w="47625">
            <a:solidFill>
              <a:schemeClr val="accent4">
                <a:lumMod val="40000"/>
                <a:lumOff val="60000"/>
                <a:alpha val="9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37" name="Rechteck: abgerundete Ecken 136">
            <a:extLst>
              <a:ext uri="{FF2B5EF4-FFF2-40B4-BE49-F238E27FC236}">
                <a16:creationId xmlns:a16="http://schemas.microsoft.com/office/drawing/2014/main" id="{0AF8D424-3267-BC59-1940-010612A4F081}"/>
              </a:ext>
            </a:extLst>
          </xdr:cNvPr>
          <xdr:cNvSpPr/>
        </xdr:nvSpPr>
        <xdr:spPr>
          <a:xfrm>
            <a:off x="190500" y="1847849"/>
            <a:ext cx="2819400" cy="695325"/>
          </a:xfrm>
          <a:prstGeom prst="roundRect">
            <a:avLst/>
          </a:prstGeom>
          <a:solidFill>
            <a:schemeClr val="accent4">
              <a:lumMod val="40000"/>
              <a:lumOff val="6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Investment</a:t>
            </a:r>
          </a:p>
        </xdr:txBody>
      </xdr:sp>
    </xdr:grpSp>
    <xdr:clientData/>
  </xdr:twoCellAnchor>
  <xdr:twoCellAnchor>
    <xdr:from>
      <xdr:col>0</xdr:col>
      <xdr:colOff>123825</xdr:colOff>
      <xdr:row>52</xdr:row>
      <xdr:rowOff>66674</xdr:rowOff>
    </xdr:from>
    <xdr:to>
      <xdr:col>31</xdr:col>
      <xdr:colOff>104775</xdr:colOff>
      <xdr:row>67</xdr:row>
      <xdr:rowOff>133349</xdr:rowOff>
    </xdr:to>
    <xdr:grpSp>
      <xdr:nvGrpSpPr>
        <xdr:cNvPr id="138" name="Gruppieren 137">
          <a:extLst>
            <a:ext uri="{FF2B5EF4-FFF2-40B4-BE49-F238E27FC236}">
              <a16:creationId xmlns:a16="http://schemas.microsoft.com/office/drawing/2014/main" id="{30C62886-2028-4FBC-B4C3-21063BDC6AA9}"/>
            </a:ext>
          </a:extLst>
        </xdr:cNvPr>
        <xdr:cNvGrpSpPr/>
      </xdr:nvGrpSpPr>
      <xdr:grpSpPr>
        <a:xfrm>
          <a:off x="123825" y="9689645"/>
          <a:ext cx="22590579" cy="2842533"/>
          <a:chOff x="190500" y="733424"/>
          <a:chExt cx="23602950" cy="2924175"/>
        </a:xfrm>
        <a:solidFill>
          <a:schemeClr val="bg1">
            <a:lumMod val="65000"/>
          </a:schemeClr>
        </a:solidFill>
      </xdr:grpSpPr>
      <xdr:sp macro="" textlink="">
        <xdr:nvSpPr>
          <xdr:cNvPr id="139" name="Rechteck: abgerundete Ecken 138">
            <a:extLst>
              <a:ext uri="{FF2B5EF4-FFF2-40B4-BE49-F238E27FC236}">
                <a16:creationId xmlns:a16="http://schemas.microsoft.com/office/drawing/2014/main" id="{771BE098-C212-EC75-67CE-2831E982EC4A}"/>
              </a:ext>
            </a:extLst>
          </xdr:cNvPr>
          <xdr:cNvSpPr/>
        </xdr:nvSpPr>
        <xdr:spPr>
          <a:xfrm>
            <a:off x="190500" y="733424"/>
            <a:ext cx="23602950" cy="2924175"/>
          </a:xfrm>
          <a:prstGeom prst="roundRect">
            <a:avLst/>
          </a:prstGeom>
          <a:grpFill/>
          <a:ln w="47625">
            <a:solidFill>
              <a:schemeClr val="bg2">
                <a:lumMod val="90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40" name="Rechteck: abgerundete Ecken 139">
            <a:extLst>
              <a:ext uri="{FF2B5EF4-FFF2-40B4-BE49-F238E27FC236}">
                <a16:creationId xmlns:a16="http://schemas.microsoft.com/office/drawing/2014/main" id="{503A5FA0-ECC2-9C9F-500C-A1D82A265128}"/>
              </a:ext>
            </a:extLst>
          </xdr:cNvPr>
          <xdr:cNvSpPr/>
        </xdr:nvSpPr>
        <xdr:spPr>
          <a:xfrm>
            <a:off x="190500" y="1847849"/>
            <a:ext cx="2819400" cy="695325"/>
          </a:xfrm>
          <a:prstGeom prst="roundRect">
            <a:avLst/>
          </a:prstGeom>
          <a:solidFill>
            <a:schemeClr val="bg2">
              <a:lumMod val="90000"/>
            </a:schemeClr>
          </a:solidFill>
          <a:ln>
            <a:solidFill>
              <a:schemeClr val="bg2">
                <a:lumMod val="9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b="1">
                <a:solidFill>
                  <a:sysClr val="windowText" lastClr="000000"/>
                </a:solidFill>
              </a:rPr>
              <a:t>Extra</a:t>
            </a:r>
          </a:p>
        </xdr:txBody>
      </xdr:sp>
    </xdr:grpSp>
    <xdr:clientData/>
  </xdr:twoCellAnchor>
  <xdr:twoCellAnchor>
    <xdr:from>
      <xdr:col>8</xdr:col>
      <xdr:colOff>109538</xdr:colOff>
      <xdr:row>4</xdr:row>
      <xdr:rowOff>117863</xdr:rowOff>
    </xdr:from>
    <xdr:to>
      <xdr:col>11</xdr:col>
      <xdr:colOff>80962</xdr:colOff>
      <xdr:row>17</xdr:row>
      <xdr:rowOff>85724</xdr:rowOff>
    </xdr:to>
    <xdr:grpSp>
      <xdr:nvGrpSpPr>
        <xdr:cNvPr id="141" name="Gruppieren 140">
          <a:extLst>
            <a:ext uri="{FF2B5EF4-FFF2-40B4-BE49-F238E27FC236}">
              <a16:creationId xmlns:a16="http://schemas.microsoft.com/office/drawing/2014/main" id="{415B10D8-6E49-45ED-BFAF-4BA62BB1D17D}"/>
            </a:ext>
          </a:extLst>
        </xdr:cNvPr>
        <xdr:cNvGrpSpPr/>
      </xdr:nvGrpSpPr>
      <xdr:grpSpPr>
        <a:xfrm>
          <a:off x="5944281" y="858092"/>
          <a:ext cx="2159452" cy="2373603"/>
          <a:chOff x="628651" y="937013"/>
          <a:chExt cx="2257424" cy="2444361"/>
        </a:xfrm>
      </xdr:grpSpPr>
      <xdr:sp macro="[0]!Budget_Tracking_Navigation" textlink="">
        <xdr:nvSpPr>
          <xdr:cNvPr id="142" name="Rechteck: abgerundete Ecken 141">
            <a:extLst>
              <a:ext uri="{FF2B5EF4-FFF2-40B4-BE49-F238E27FC236}">
                <a16:creationId xmlns:a16="http://schemas.microsoft.com/office/drawing/2014/main" id="{E2DD9B05-336C-7DCD-559B-DC653DF6EB95}"/>
              </a:ext>
            </a:extLst>
          </xdr:cNvPr>
          <xdr:cNvSpPr/>
        </xdr:nvSpPr>
        <xdr:spPr>
          <a:xfrm>
            <a:off x="628651" y="937013"/>
            <a:ext cx="2257424" cy="2444361"/>
          </a:xfrm>
          <a:prstGeom prst="roundRect">
            <a:avLst/>
          </a:prstGeom>
          <a:solidFill>
            <a:schemeClr val="accent6">
              <a:lumMod val="40000"/>
              <a:lumOff val="6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Tracking</a:t>
            </a:r>
          </a:p>
        </xdr:txBody>
      </xdr:sp>
      <xdr:pic macro="[0]!Budget_Tracking_Navigation">
        <xdr:nvPicPr>
          <xdr:cNvPr id="143" name="Grafik 142" descr="Unterschrift mit einfarbiger Füllung">
            <a:extLst>
              <a:ext uri="{FF2B5EF4-FFF2-40B4-BE49-F238E27FC236}">
                <a16:creationId xmlns:a16="http://schemas.microsoft.com/office/drawing/2014/main" id="{A5751D04-6EB7-EA1D-7C8E-F378B413143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29614" y="1727587"/>
            <a:ext cx="1255497" cy="1255497"/>
          </a:xfrm>
          <a:prstGeom prst="rect">
            <a:avLst/>
          </a:prstGeom>
        </xdr:spPr>
      </xdr:pic>
    </xdr:grpSp>
    <xdr:clientData/>
  </xdr:twoCellAnchor>
  <xdr:twoCellAnchor>
    <xdr:from>
      <xdr:col>11</xdr:col>
      <xdr:colOff>381001</xdr:colOff>
      <xdr:row>4</xdr:row>
      <xdr:rowOff>117863</xdr:rowOff>
    </xdr:from>
    <xdr:to>
      <xdr:col>14</xdr:col>
      <xdr:colOff>352425</xdr:colOff>
      <xdr:row>17</xdr:row>
      <xdr:rowOff>85724</xdr:rowOff>
    </xdr:to>
    <xdr:grpSp>
      <xdr:nvGrpSpPr>
        <xdr:cNvPr id="144" name="Gruppieren 143">
          <a:extLst>
            <a:ext uri="{FF2B5EF4-FFF2-40B4-BE49-F238E27FC236}">
              <a16:creationId xmlns:a16="http://schemas.microsoft.com/office/drawing/2014/main" id="{9497FA3E-EE5D-4DD7-82B1-B0B858067278}"/>
            </a:ext>
          </a:extLst>
        </xdr:cNvPr>
        <xdr:cNvGrpSpPr/>
      </xdr:nvGrpSpPr>
      <xdr:grpSpPr>
        <a:xfrm>
          <a:off x="8403772" y="858092"/>
          <a:ext cx="2159453" cy="2373603"/>
          <a:chOff x="628651" y="937013"/>
          <a:chExt cx="2257424" cy="2444361"/>
        </a:xfrm>
      </xdr:grpSpPr>
      <xdr:sp macro="[0]!Budget_Dashboard_Navigation" textlink="">
        <xdr:nvSpPr>
          <xdr:cNvPr id="145" name="Rechteck: abgerundete Ecken 144">
            <a:extLst>
              <a:ext uri="{FF2B5EF4-FFF2-40B4-BE49-F238E27FC236}">
                <a16:creationId xmlns:a16="http://schemas.microsoft.com/office/drawing/2014/main" id="{47EFDCA1-98A7-52DC-452C-7625DC3B8F6A}"/>
              </a:ext>
            </a:extLst>
          </xdr:cNvPr>
          <xdr:cNvSpPr/>
        </xdr:nvSpPr>
        <xdr:spPr>
          <a:xfrm>
            <a:off x="628651" y="937013"/>
            <a:ext cx="2257424" cy="2444361"/>
          </a:xfrm>
          <a:prstGeom prst="roundRect">
            <a:avLst/>
          </a:prstGeom>
          <a:solidFill>
            <a:schemeClr val="accent6">
              <a:lumMod val="40000"/>
              <a:lumOff val="6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Dashboard</a:t>
            </a:r>
          </a:p>
        </xdr:txBody>
      </xdr:sp>
      <xdr:pic macro="[0]!Budget_Dashboard_Navigation">
        <xdr:nvPicPr>
          <xdr:cNvPr id="146" name="Grafik 145" descr="Balkendiagramm mit einfarbiger Füllung">
            <a:extLst>
              <a:ext uri="{FF2B5EF4-FFF2-40B4-BE49-F238E27FC236}">
                <a16:creationId xmlns:a16="http://schemas.microsoft.com/office/drawing/2014/main" id="{D31F8E81-FD77-FA72-9E05-1320C80C3F0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129614" y="1727587"/>
            <a:ext cx="1255497" cy="1255497"/>
          </a:xfrm>
          <a:prstGeom prst="rect">
            <a:avLst/>
          </a:prstGeom>
        </xdr:spPr>
      </xdr:pic>
    </xdr:grpSp>
    <xdr:clientData/>
  </xdr:twoCellAnchor>
  <xdr:twoCellAnchor>
    <xdr:from>
      <xdr:col>4</xdr:col>
      <xdr:colOff>566738</xdr:colOff>
      <xdr:row>21</xdr:row>
      <xdr:rowOff>22613</xdr:rowOff>
    </xdr:from>
    <xdr:to>
      <xdr:col>7</xdr:col>
      <xdr:colOff>538162</xdr:colOff>
      <xdr:row>33</xdr:row>
      <xdr:rowOff>180974</xdr:rowOff>
    </xdr:to>
    <xdr:grpSp>
      <xdr:nvGrpSpPr>
        <xdr:cNvPr id="147" name="Gruppieren 146">
          <a:extLst>
            <a:ext uri="{FF2B5EF4-FFF2-40B4-BE49-F238E27FC236}">
              <a16:creationId xmlns:a16="http://schemas.microsoft.com/office/drawing/2014/main" id="{99ED979F-EB2D-41DC-96D3-10F050F8B3A7}"/>
            </a:ext>
          </a:extLst>
        </xdr:cNvPr>
        <xdr:cNvGrpSpPr/>
      </xdr:nvGrpSpPr>
      <xdr:grpSpPr>
        <a:xfrm>
          <a:off x="3484109" y="3908813"/>
          <a:ext cx="2159453" cy="2379047"/>
          <a:chOff x="628651" y="937013"/>
          <a:chExt cx="2257424" cy="2444361"/>
        </a:xfrm>
        <a:solidFill>
          <a:srgbClr val="FFFF00"/>
        </a:solidFill>
      </xdr:grpSpPr>
      <xdr:sp macro="[0]!Net_Worth_Navigation" textlink="">
        <xdr:nvSpPr>
          <xdr:cNvPr id="148" name="Rechteck: abgerundete Ecken 147">
            <a:extLst>
              <a:ext uri="{FF2B5EF4-FFF2-40B4-BE49-F238E27FC236}">
                <a16:creationId xmlns:a16="http://schemas.microsoft.com/office/drawing/2014/main" id="{1F7CF453-5995-F730-34B2-759D022A8E51}"/>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Overview</a:t>
            </a:r>
          </a:p>
        </xdr:txBody>
      </xdr:sp>
      <xdr:pic macro="[0]!Net_Worth_Navigation">
        <xdr:nvPicPr>
          <xdr:cNvPr id="149" name="Grafik 148" descr="Schatztruhe mit einfarbiger Füllung">
            <a:extLst>
              <a:ext uri="{FF2B5EF4-FFF2-40B4-BE49-F238E27FC236}">
                <a16:creationId xmlns:a16="http://schemas.microsoft.com/office/drawing/2014/main" id="{E373CD84-8902-63C7-C25D-291FDF34AB9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129614" y="1727587"/>
            <a:ext cx="1255497" cy="1255497"/>
          </a:xfrm>
          <a:prstGeom prst="rect">
            <a:avLst/>
          </a:prstGeom>
        </xdr:spPr>
      </xdr:pic>
    </xdr:grpSp>
    <xdr:clientData/>
  </xdr:twoCellAnchor>
  <xdr:twoCellAnchor>
    <xdr:from>
      <xdr:col>4</xdr:col>
      <xdr:colOff>566738</xdr:colOff>
      <xdr:row>37</xdr:row>
      <xdr:rowOff>27096</xdr:rowOff>
    </xdr:from>
    <xdr:to>
      <xdr:col>7</xdr:col>
      <xdr:colOff>538162</xdr:colOff>
      <xdr:row>49</xdr:row>
      <xdr:rowOff>185457</xdr:rowOff>
    </xdr:to>
    <xdr:grpSp>
      <xdr:nvGrpSpPr>
        <xdr:cNvPr id="150" name="Gruppieren 149">
          <a:extLst>
            <a:ext uri="{FF2B5EF4-FFF2-40B4-BE49-F238E27FC236}">
              <a16:creationId xmlns:a16="http://schemas.microsoft.com/office/drawing/2014/main" id="{0E8F3601-EDF5-4BCD-87A6-60C10FDC29B1}"/>
            </a:ext>
          </a:extLst>
        </xdr:cNvPr>
        <xdr:cNvGrpSpPr/>
      </xdr:nvGrpSpPr>
      <xdr:grpSpPr>
        <a:xfrm>
          <a:off x="3484109" y="6874210"/>
          <a:ext cx="2159453" cy="2379047"/>
          <a:chOff x="628651" y="937013"/>
          <a:chExt cx="2257424" cy="2444361"/>
        </a:xfrm>
        <a:solidFill>
          <a:schemeClr val="accent1">
            <a:lumMod val="40000"/>
            <a:lumOff val="60000"/>
          </a:schemeClr>
        </a:solidFill>
      </xdr:grpSpPr>
      <xdr:sp macro="" textlink="">
        <xdr:nvSpPr>
          <xdr:cNvPr id="151" name="Rechteck: abgerundete Ecken 150">
            <a:extLst>
              <a:ext uri="{FF2B5EF4-FFF2-40B4-BE49-F238E27FC236}">
                <a16:creationId xmlns:a16="http://schemas.microsoft.com/office/drawing/2014/main" id="{26F4292F-5C40-4C21-6366-49E7A67D0E7D}"/>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Cash</a:t>
            </a:r>
          </a:p>
        </xdr:txBody>
      </xdr:sp>
      <xdr:pic>
        <xdr:nvPicPr>
          <xdr:cNvPr id="152" name="Grafik 151" descr="Münzen mit einfarbiger Füllung">
            <a:extLst>
              <a:ext uri="{FF2B5EF4-FFF2-40B4-BE49-F238E27FC236}">
                <a16:creationId xmlns:a16="http://schemas.microsoft.com/office/drawing/2014/main" id="{F3DAADCF-64AA-4773-3C0E-131C7199A87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1129614" y="1727587"/>
            <a:ext cx="1255497" cy="1255497"/>
          </a:xfrm>
          <a:prstGeom prst="rect">
            <a:avLst/>
          </a:prstGeom>
        </xdr:spPr>
      </xdr:pic>
    </xdr:grpSp>
    <xdr:clientData/>
  </xdr:twoCellAnchor>
  <xdr:twoCellAnchor>
    <xdr:from>
      <xdr:col>4</xdr:col>
      <xdr:colOff>566738</xdr:colOff>
      <xdr:row>53</xdr:row>
      <xdr:rowOff>70238</xdr:rowOff>
    </xdr:from>
    <xdr:to>
      <xdr:col>7</xdr:col>
      <xdr:colOff>538162</xdr:colOff>
      <xdr:row>66</xdr:row>
      <xdr:rowOff>38099</xdr:rowOff>
    </xdr:to>
    <xdr:grpSp>
      <xdr:nvGrpSpPr>
        <xdr:cNvPr id="165" name="Gruppieren 164">
          <a:extLst>
            <a:ext uri="{FF2B5EF4-FFF2-40B4-BE49-F238E27FC236}">
              <a16:creationId xmlns:a16="http://schemas.microsoft.com/office/drawing/2014/main" id="{571F0E97-847F-4A71-B61C-A2A6E6F766B1}"/>
            </a:ext>
          </a:extLst>
        </xdr:cNvPr>
        <xdr:cNvGrpSpPr/>
      </xdr:nvGrpSpPr>
      <xdr:grpSpPr>
        <a:xfrm>
          <a:off x="3484109" y="9878267"/>
          <a:ext cx="2159453" cy="2373603"/>
          <a:chOff x="628651" y="937013"/>
          <a:chExt cx="2257424" cy="2444361"/>
        </a:xfrm>
        <a:solidFill>
          <a:schemeClr val="bg2">
            <a:lumMod val="90000"/>
          </a:schemeClr>
        </a:solidFill>
      </xdr:grpSpPr>
      <xdr:sp macro="[0]!Settings_Navigation" textlink="">
        <xdr:nvSpPr>
          <xdr:cNvPr id="166" name="Rechteck: abgerundete Ecken 165">
            <a:extLst>
              <a:ext uri="{FF2B5EF4-FFF2-40B4-BE49-F238E27FC236}">
                <a16:creationId xmlns:a16="http://schemas.microsoft.com/office/drawing/2014/main" id="{33F6B819-10B4-B97B-33F2-63519BA6E16E}"/>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Settings</a:t>
            </a:r>
          </a:p>
        </xdr:txBody>
      </xdr:sp>
      <xdr:pic macro="[0]!Settings_Navigation">
        <xdr:nvPicPr>
          <xdr:cNvPr id="167" name="Grafik 166" descr="Zahnrad mit einfarbiger Füllung">
            <a:extLst>
              <a:ext uri="{FF2B5EF4-FFF2-40B4-BE49-F238E27FC236}">
                <a16:creationId xmlns:a16="http://schemas.microsoft.com/office/drawing/2014/main" id="{BE9BAEF6-65CB-061E-1A6E-DD94DC00DEE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29614" y="1727587"/>
            <a:ext cx="1255497" cy="1255497"/>
          </a:xfrm>
          <a:prstGeom prst="rect">
            <a:avLst/>
          </a:prstGeom>
        </xdr:spPr>
      </xdr:pic>
    </xdr:grpSp>
    <xdr:clientData/>
  </xdr:twoCellAnchor>
  <xdr:twoCellAnchor>
    <xdr:from>
      <xdr:col>8</xdr:col>
      <xdr:colOff>80963</xdr:colOff>
      <xdr:row>53</xdr:row>
      <xdr:rowOff>70238</xdr:rowOff>
    </xdr:from>
    <xdr:to>
      <xdr:col>11</xdr:col>
      <xdr:colOff>52387</xdr:colOff>
      <xdr:row>66</xdr:row>
      <xdr:rowOff>38099</xdr:rowOff>
    </xdr:to>
    <xdr:grpSp>
      <xdr:nvGrpSpPr>
        <xdr:cNvPr id="168" name="Gruppieren 167">
          <a:extLst>
            <a:ext uri="{FF2B5EF4-FFF2-40B4-BE49-F238E27FC236}">
              <a16:creationId xmlns:a16="http://schemas.microsoft.com/office/drawing/2014/main" id="{32B4EE33-449E-4718-9B22-7F6F900C759C}"/>
            </a:ext>
          </a:extLst>
        </xdr:cNvPr>
        <xdr:cNvGrpSpPr/>
      </xdr:nvGrpSpPr>
      <xdr:grpSpPr>
        <a:xfrm>
          <a:off x="5915706" y="9878267"/>
          <a:ext cx="2159452" cy="2373603"/>
          <a:chOff x="628651" y="937013"/>
          <a:chExt cx="2257424" cy="2444361"/>
        </a:xfrm>
        <a:solidFill>
          <a:schemeClr val="bg2">
            <a:lumMod val="90000"/>
          </a:schemeClr>
        </a:solidFill>
      </xdr:grpSpPr>
      <xdr:sp macro="[0]!Data_Navigation" textlink="">
        <xdr:nvSpPr>
          <xdr:cNvPr id="169" name="Rechteck: abgerundete Ecken 168">
            <a:extLst>
              <a:ext uri="{FF2B5EF4-FFF2-40B4-BE49-F238E27FC236}">
                <a16:creationId xmlns:a16="http://schemas.microsoft.com/office/drawing/2014/main" id="{A42B3A23-912A-1552-AB21-7A43A43971BF}"/>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Data</a:t>
            </a:r>
          </a:p>
        </xdr:txBody>
      </xdr:sp>
      <xdr:pic macro="[0]!Data_Navigation">
        <xdr:nvPicPr>
          <xdr:cNvPr id="170" name="Grafik 169" descr="Datenbank mit einfarbiger Füllung">
            <a:extLst>
              <a:ext uri="{FF2B5EF4-FFF2-40B4-BE49-F238E27FC236}">
                <a16:creationId xmlns:a16="http://schemas.microsoft.com/office/drawing/2014/main" id="{F51C46D1-C894-3BCC-A44D-9696444D8C1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129614" y="1727587"/>
            <a:ext cx="1255497" cy="1255497"/>
          </a:xfrm>
          <a:prstGeom prst="rect">
            <a:avLst/>
          </a:prstGeom>
        </xdr:spPr>
      </xdr:pic>
    </xdr:grpSp>
    <xdr:clientData/>
  </xdr:twoCellAnchor>
  <xdr:twoCellAnchor>
    <xdr:from>
      <xdr:col>11</xdr:col>
      <xdr:colOff>352426</xdr:colOff>
      <xdr:row>53</xdr:row>
      <xdr:rowOff>70238</xdr:rowOff>
    </xdr:from>
    <xdr:to>
      <xdr:col>14</xdr:col>
      <xdr:colOff>323850</xdr:colOff>
      <xdr:row>66</xdr:row>
      <xdr:rowOff>38099</xdr:rowOff>
    </xdr:to>
    <xdr:grpSp>
      <xdr:nvGrpSpPr>
        <xdr:cNvPr id="171" name="Gruppieren 170">
          <a:extLst>
            <a:ext uri="{FF2B5EF4-FFF2-40B4-BE49-F238E27FC236}">
              <a16:creationId xmlns:a16="http://schemas.microsoft.com/office/drawing/2014/main" id="{6417C199-6E23-46A8-BEA9-270DDCC04217}"/>
            </a:ext>
          </a:extLst>
        </xdr:cNvPr>
        <xdr:cNvGrpSpPr/>
      </xdr:nvGrpSpPr>
      <xdr:grpSpPr>
        <a:xfrm>
          <a:off x="8375197" y="9878267"/>
          <a:ext cx="2159453" cy="2373603"/>
          <a:chOff x="628651" y="937013"/>
          <a:chExt cx="2257424" cy="2444361"/>
        </a:xfrm>
        <a:solidFill>
          <a:schemeClr val="bg2">
            <a:lumMod val="90000"/>
          </a:schemeClr>
        </a:solidFill>
      </xdr:grpSpPr>
      <xdr:sp macro="[0]!Dropdown_Data_Navigation" textlink="">
        <xdr:nvSpPr>
          <xdr:cNvPr id="172" name="Rechteck: abgerundete Ecken 171">
            <a:extLst>
              <a:ext uri="{FF2B5EF4-FFF2-40B4-BE49-F238E27FC236}">
                <a16:creationId xmlns:a16="http://schemas.microsoft.com/office/drawing/2014/main" id="{6EA3DF89-150C-0E71-28ED-F866475C8611}"/>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Dropdown</a:t>
            </a:r>
          </a:p>
        </xdr:txBody>
      </xdr:sp>
      <xdr:pic macro="[0]!Dropdown_Data_Navigation">
        <xdr:nvPicPr>
          <xdr:cNvPr id="173" name="Grafik 172" descr="Symbol für Hamburger-Menü mit einfarbiger Füllung">
            <a:extLst>
              <a:ext uri="{FF2B5EF4-FFF2-40B4-BE49-F238E27FC236}">
                <a16:creationId xmlns:a16="http://schemas.microsoft.com/office/drawing/2014/main" id="{954516FE-0C2B-1277-626E-099487E1FE2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129614" y="1727587"/>
            <a:ext cx="1255497" cy="1255497"/>
          </a:xfrm>
          <a:prstGeom prst="rect">
            <a:avLst/>
          </a:prstGeom>
        </xdr:spPr>
      </xdr:pic>
    </xdr:grpSp>
    <xdr:clientData/>
  </xdr:twoCellAnchor>
  <xdr:twoCellAnchor>
    <xdr:from>
      <xdr:col>14</xdr:col>
      <xdr:colOff>605679</xdr:colOff>
      <xdr:row>53</xdr:row>
      <xdr:rowOff>43344</xdr:rowOff>
    </xdr:from>
    <xdr:to>
      <xdr:col>18</xdr:col>
      <xdr:colOff>268941</xdr:colOff>
      <xdr:row>66</xdr:row>
      <xdr:rowOff>11205</xdr:rowOff>
    </xdr:to>
    <xdr:grpSp>
      <xdr:nvGrpSpPr>
        <xdr:cNvPr id="174" name="Gruppieren 173">
          <a:extLst>
            <a:ext uri="{FF2B5EF4-FFF2-40B4-BE49-F238E27FC236}">
              <a16:creationId xmlns:a16="http://schemas.microsoft.com/office/drawing/2014/main" id="{3FC0E235-2982-40C8-B2F4-356AB3AA1AAA}"/>
            </a:ext>
          </a:extLst>
        </xdr:cNvPr>
        <xdr:cNvGrpSpPr/>
      </xdr:nvGrpSpPr>
      <xdr:grpSpPr>
        <a:xfrm>
          <a:off x="10816479" y="9851373"/>
          <a:ext cx="2580633" cy="2373603"/>
          <a:chOff x="628651" y="937013"/>
          <a:chExt cx="2257424" cy="2444361"/>
        </a:xfrm>
        <a:solidFill>
          <a:schemeClr val="bg2">
            <a:lumMod val="90000"/>
          </a:schemeClr>
        </a:solidFill>
      </xdr:grpSpPr>
      <xdr:sp macro="[0]!Claculations_Navigation" textlink="">
        <xdr:nvSpPr>
          <xdr:cNvPr id="175" name="Rechteck: abgerundete Ecken 174">
            <a:extLst>
              <a:ext uri="{FF2B5EF4-FFF2-40B4-BE49-F238E27FC236}">
                <a16:creationId xmlns:a16="http://schemas.microsoft.com/office/drawing/2014/main" id="{CED5DDF9-A266-CEF3-95A4-3DED00DE257D}"/>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Calculations</a:t>
            </a:r>
          </a:p>
        </xdr:txBody>
      </xdr:sp>
      <xdr:pic macro="[0]!Claculations_Navigation">
        <xdr:nvPicPr>
          <xdr:cNvPr id="176" name="Grafik 175" descr="Abakus mit einfarbiger Füllung">
            <a:extLst>
              <a:ext uri="{FF2B5EF4-FFF2-40B4-BE49-F238E27FC236}">
                <a16:creationId xmlns:a16="http://schemas.microsoft.com/office/drawing/2014/main" id="{B103BF3E-171B-3AC9-BF15-9A5DAF486F9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1234694" y="1727587"/>
            <a:ext cx="1045339" cy="1255497"/>
          </a:xfrm>
          <a:prstGeom prst="rect">
            <a:avLst/>
          </a:prstGeom>
        </xdr:spPr>
      </xdr:pic>
    </xdr:grpSp>
    <xdr:clientData/>
  </xdr:twoCellAnchor>
  <xdr:twoCellAnchor>
    <xdr:from>
      <xdr:col>8</xdr:col>
      <xdr:colOff>59742</xdr:colOff>
      <xdr:row>37</xdr:row>
      <xdr:rowOff>27096</xdr:rowOff>
    </xdr:from>
    <xdr:to>
      <xdr:col>11</xdr:col>
      <xdr:colOff>315516</xdr:colOff>
      <xdr:row>49</xdr:row>
      <xdr:rowOff>185457</xdr:rowOff>
    </xdr:to>
    <xdr:grpSp>
      <xdr:nvGrpSpPr>
        <xdr:cNvPr id="178" name="Gruppieren 177">
          <a:extLst>
            <a:ext uri="{FF2B5EF4-FFF2-40B4-BE49-F238E27FC236}">
              <a16:creationId xmlns:a16="http://schemas.microsoft.com/office/drawing/2014/main" id="{BC4BA60D-AB35-46C5-8AAE-11C3129C9017}"/>
            </a:ext>
          </a:extLst>
        </xdr:cNvPr>
        <xdr:cNvGrpSpPr/>
      </xdr:nvGrpSpPr>
      <xdr:grpSpPr>
        <a:xfrm>
          <a:off x="5894485" y="6874210"/>
          <a:ext cx="2443802" cy="2379047"/>
          <a:chOff x="628651" y="937013"/>
          <a:chExt cx="2257424" cy="2444361"/>
        </a:xfrm>
        <a:solidFill>
          <a:schemeClr val="accent1">
            <a:lumMod val="40000"/>
            <a:lumOff val="60000"/>
          </a:schemeClr>
        </a:solidFill>
      </xdr:grpSpPr>
      <xdr:sp macro="" textlink="">
        <xdr:nvSpPr>
          <xdr:cNvPr id="179" name="Rechteck: abgerundete Ecken 178">
            <a:extLst>
              <a:ext uri="{FF2B5EF4-FFF2-40B4-BE49-F238E27FC236}">
                <a16:creationId xmlns:a16="http://schemas.microsoft.com/office/drawing/2014/main" id="{B6F8F1D8-C06D-5342-8C94-3E5CAC9DC898}"/>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ETF / Stocks</a:t>
            </a:r>
          </a:p>
        </xdr:txBody>
      </xdr:sp>
      <xdr:pic>
        <xdr:nvPicPr>
          <xdr:cNvPr id="180" name="Grafik 179" descr="Aufwärtstrend mit einfarbiger Füllung">
            <a:extLst>
              <a:ext uri="{FF2B5EF4-FFF2-40B4-BE49-F238E27FC236}">
                <a16:creationId xmlns:a16="http://schemas.microsoft.com/office/drawing/2014/main" id="{0BD48041-3277-12B0-0495-165672DCFEF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1199840" y="1727587"/>
            <a:ext cx="1115044" cy="1255497"/>
          </a:xfrm>
          <a:prstGeom prst="rect">
            <a:avLst/>
          </a:prstGeom>
        </xdr:spPr>
      </xdr:pic>
    </xdr:grpSp>
    <xdr:clientData/>
  </xdr:twoCellAnchor>
  <xdr:twoCellAnchor>
    <xdr:from>
      <xdr:col>11</xdr:col>
      <xdr:colOff>599096</xdr:colOff>
      <xdr:row>37</xdr:row>
      <xdr:rowOff>27096</xdr:rowOff>
    </xdr:from>
    <xdr:to>
      <xdr:col>14</xdr:col>
      <xdr:colOff>570520</xdr:colOff>
      <xdr:row>49</xdr:row>
      <xdr:rowOff>185457</xdr:rowOff>
    </xdr:to>
    <xdr:grpSp>
      <xdr:nvGrpSpPr>
        <xdr:cNvPr id="181" name="Gruppieren 180">
          <a:extLst>
            <a:ext uri="{FF2B5EF4-FFF2-40B4-BE49-F238E27FC236}">
              <a16:creationId xmlns:a16="http://schemas.microsoft.com/office/drawing/2014/main" id="{B96E5719-7D22-4295-9B7B-353F0B407465}"/>
            </a:ext>
          </a:extLst>
        </xdr:cNvPr>
        <xdr:cNvGrpSpPr/>
      </xdr:nvGrpSpPr>
      <xdr:grpSpPr>
        <a:xfrm>
          <a:off x="8621867" y="6874210"/>
          <a:ext cx="2159453" cy="2379047"/>
          <a:chOff x="628651" y="937013"/>
          <a:chExt cx="2257424" cy="2444361"/>
        </a:xfrm>
        <a:solidFill>
          <a:schemeClr val="accent1">
            <a:lumMod val="40000"/>
            <a:lumOff val="60000"/>
          </a:schemeClr>
        </a:solidFill>
      </xdr:grpSpPr>
      <xdr:sp macro="" textlink="">
        <xdr:nvSpPr>
          <xdr:cNvPr id="182" name="Rechteck: abgerundete Ecken 181">
            <a:extLst>
              <a:ext uri="{FF2B5EF4-FFF2-40B4-BE49-F238E27FC236}">
                <a16:creationId xmlns:a16="http://schemas.microsoft.com/office/drawing/2014/main" id="{31EB7693-6CAD-162D-9286-0FE2C9EE3B3D}"/>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Housing</a:t>
            </a:r>
          </a:p>
        </xdr:txBody>
      </xdr:sp>
      <xdr:pic>
        <xdr:nvPicPr>
          <xdr:cNvPr id="183" name="Grafik 182" descr="Stadt mit einfarbiger Füllung">
            <a:extLst>
              <a:ext uri="{FF2B5EF4-FFF2-40B4-BE49-F238E27FC236}">
                <a16:creationId xmlns:a16="http://schemas.microsoft.com/office/drawing/2014/main" id="{76A7F1C1-CECF-A9FB-7BFF-C5361CDBEF9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rcRect/>
          <a:stretch/>
        </xdr:blipFill>
        <xdr:spPr>
          <a:xfrm>
            <a:off x="1129614" y="1727587"/>
            <a:ext cx="1255497" cy="1255497"/>
          </a:xfrm>
          <a:prstGeom prst="rect">
            <a:avLst/>
          </a:prstGeom>
        </xdr:spPr>
      </xdr:pic>
    </xdr:grpSp>
    <xdr:clientData/>
  </xdr:twoCellAnchor>
  <xdr:twoCellAnchor>
    <xdr:from>
      <xdr:col>15</xdr:col>
      <xdr:colOff>92100</xdr:colOff>
      <xdr:row>37</xdr:row>
      <xdr:rowOff>27096</xdr:rowOff>
    </xdr:from>
    <xdr:to>
      <xdr:col>18</xdr:col>
      <xdr:colOff>63524</xdr:colOff>
      <xdr:row>49</xdr:row>
      <xdr:rowOff>185457</xdr:rowOff>
    </xdr:to>
    <xdr:grpSp>
      <xdr:nvGrpSpPr>
        <xdr:cNvPr id="184" name="Gruppieren 183">
          <a:extLst>
            <a:ext uri="{FF2B5EF4-FFF2-40B4-BE49-F238E27FC236}">
              <a16:creationId xmlns:a16="http://schemas.microsoft.com/office/drawing/2014/main" id="{A22EA0C4-176B-456E-84DC-B50C0359E18F}"/>
            </a:ext>
          </a:extLst>
        </xdr:cNvPr>
        <xdr:cNvGrpSpPr/>
      </xdr:nvGrpSpPr>
      <xdr:grpSpPr>
        <a:xfrm>
          <a:off x="11032243" y="6874210"/>
          <a:ext cx="2159452" cy="2379047"/>
          <a:chOff x="628651" y="937013"/>
          <a:chExt cx="2257424" cy="2444361"/>
        </a:xfrm>
        <a:solidFill>
          <a:schemeClr val="accent1">
            <a:lumMod val="40000"/>
            <a:lumOff val="60000"/>
          </a:schemeClr>
        </a:solidFill>
      </xdr:grpSpPr>
      <xdr:sp macro="" textlink="">
        <xdr:nvSpPr>
          <xdr:cNvPr id="185" name="Rechteck: abgerundete Ecken 184">
            <a:extLst>
              <a:ext uri="{FF2B5EF4-FFF2-40B4-BE49-F238E27FC236}">
                <a16:creationId xmlns:a16="http://schemas.microsoft.com/office/drawing/2014/main" id="{84A9EEDD-0A74-B1AB-54F4-966D6DAF5F53}"/>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Bonds</a:t>
            </a:r>
          </a:p>
        </xdr:txBody>
      </xdr:sp>
      <xdr:pic>
        <xdr:nvPicPr>
          <xdr:cNvPr id="186" name="Grafik 185" descr="Bank mit einfarbiger Füllung">
            <a:extLst>
              <a:ext uri="{FF2B5EF4-FFF2-40B4-BE49-F238E27FC236}">
                <a16:creationId xmlns:a16="http://schemas.microsoft.com/office/drawing/2014/main" id="{2292F93D-B89E-EB6D-7070-0E9FCED4FF8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rcRect/>
          <a:stretch/>
        </xdr:blipFill>
        <xdr:spPr>
          <a:xfrm>
            <a:off x="1129614" y="1727587"/>
            <a:ext cx="1255497" cy="1255497"/>
          </a:xfrm>
          <a:prstGeom prst="rect">
            <a:avLst/>
          </a:prstGeom>
        </xdr:spPr>
      </xdr:pic>
    </xdr:grpSp>
    <xdr:clientData/>
  </xdr:twoCellAnchor>
  <xdr:twoCellAnchor>
    <xdr:from>
      <xdr:col>18</xdr:col>
      <xdr:colOff>347103</xdr:colOff>
      <xdr:row>37</xdr:row>
      <xdr:rowOff>27096</xdr:rowOff>
    </xdr:from>
    <xdr:to>
      <xdr:col>21</xdr:col>
      <xdr:colOff>318527</xdr:colOff>
      <xdr:row>49</xdr:row>
      <xdr:rowOff>185457</xdr:rowOff>
    </xdr:to>
    <xdr:grpSp>
      <xdr:nvGrpSpPr>
        <xdr:cNvPr id="187" name="Gruppieren 186">
          <a:extLst>
            <a:ext uri="{FF2B5EF4-FFF2-40B4-BE49-F238E27FC236}">
              <a16:creationId xmlns:a16="http://schemas.microsoft.com/office/drawing/2014/main" id="{34F21C90-B26E-4629-A165-67EE7C7461D3}"/>
            </a:ext>
          </a:extLst>
        </xdr:cNvPr>
        <xdr:cNvGrpSpPr/>
      </xdr:nvGrpSpPr>
      <xdr:grpSpPr>
        <a:xfrm>
          <a:off x="13475274" y="6874210"/>
          <a:ext cx="2159453" cy="2379047"/>
          <a:chOff x="628651" y="937013"/>
          <a:chExt cx="2257424" cy="2444361"/>
        </a:xfrm>
        <a:solidFill>
          <a:schemeClr val="accent1">
            <a:lumMod val="40000"/>
            <a:lumOff val="60000"/>
          </a:schemeClr>
        </a:solidFill>
      </xdr:grpSpPr>
      <xdr:sp macro="" textlink="">
        <xdr:nvSpPr>
          <xdr:cNvPr id="188" name="Rechteck: abgerundete Ecken 187">
            <a:extLst>
              <a:ext uri="{FF2B5EF4-FFF2-40B4-BE49-F238E27FC236}">
                <a16:creationId xmlns:a16="http://schemas.microsoft.com/office/drawing/2014/main" id="{B68E4DA9-57D0-82AF-D350-E81C255E3934}"/>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Krypto</a:t>
            </a:r>
          </a:p>
        </xdr:txBody>
      </xdr:sp>
      <xdr:pic>
        <xdr:nvPicPr>
          <xdr:cNvPr id="189" name="Grafik 188" descr="Blockchain mit einfarbiger Füllung">
            <a:extLst>
              <a:ext uri="{FF2B5EF4-FFF2-40B4-BE49-F238E27FC236}">
                <a16:creationId xmlns:a16="http://schemas.microsoft.com/office/drawing/2014/main" id="{EBBA28B2-87EE-67EB-0F78-FD604E263F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rcRect/>
          <a:stretch/>
        </xdr:blipFill>
        <xdr:spPr>
          <a:xfrm>
            <a:off x="1129614" y="1727587"/>
            <a:ext cx="1255497" cy="1255497"/>
          </a:xfrm>
          <a:prstGeom prst="rect">
            <a:avLst/>
          </a:prstGeom>
        </xdr:spPr>
      </xdr:pic>
    </xdr:grpSp>
    <xdr:clientData/>
  </xdr:twoCellAnchor>
  <xdr:twoCellAnchor>
    <xdr:from>
      <xdr:col>18</xdr:col>
      <xdr:colOff>614363</xdr:colOff>
      <xdr:row>53</xdr:row>
      <xdr:rowOff>70238</xdr:rowOff>
    </xdr:from>
    <xdr:to>
      <xdr:col>21</xdr:col>
      <xdr:colOff>585786</xdr:colOff>
      <xdr:row>66</xdr:row>
      <xdr:rowOff>38099</xdr:rowOff>
    </xdr:to>
    <xdr:grpSp>
      <xdr:nvGrpSpPr>
        <xdr:cNvPr id="2" name="Gruppieren 1">
          <a:extLst>
            <a:ext uri="{FF2B5EF4-FFF2-40B4-BE49-F238E27FC236}">
              <a16:creationId xmlns:a16="http://schemas.microsoft.com/office/drawing/2014/main" id="{0F284237-A5AE-41E8-93FA-8840E388D993}"/>
            </a:ext>
          </a:extLst>
        </xdr:cNvPr>
        <xdr:cNvGrpSpPr/>
      </xdr:nvGrpSpPr>
      <xdr:grpSpPr>
        <a:xfrm>
          <a:off x="13742534" y="9878267"/>
          <a:ext cx="2159452" cy="2373603"/>
          <a:chOff x="628651" y="937013"/>
          <a:chExt cx="2257424" cy="2444361"/>
        </a:xfrm>
        <a:solidFill>
          <a:schemeClr val="bg2">
            <a:lumMod val="90000"/>
          </a:schemeClr>
        </a:solidFill>
      </xdr:grpSpPr>
      <xdr:sp macro="" textlink="">
        <xdr:nvSpPr>
          <xdr:cNvPr id="3" name="Rechteck: abgerundete Ecken 2">
            <a:extLst>
              <a:ext uri="{FF2B5EF4-FFF2-40B4-BE49-F238E27FC236}">
                <a16:creationId xmlns:a16="http://schemas.microsoft.com/office/drawing/2014/main" id="{C6B36FB4-7F52-AD10-E4CB-D6BBE5534761}"/>
              </a:ext>
            </a:extLst>
          </xdr:cNvPr>
          <xdr:cNvSpPr/>
        </xdr:nvSpPr>
        <xdr:spPr>
          <a:xfrm>
            <a:off x="628651" y="937013"/>
            <a:ext cx="2257424" cy="2444361"/>
          </a:xfrm>
          <a:prstGeom prst="roundRect">
            <a:avLst/>
          </a:prstGeom>
          <a:grp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200" b="1">
                <a:solidFill>
                  <a:sysClr val="windowText" lastClr="000000"/>
                </a:solidFill>
              </a:rPr>
              <a:t>Import</a:t>
            </a:r>
          </a:p>
        </xdr:txBody>
      </xdr:sp>
      <xdr:pic>
        <xdr:nvPicPr>
          <xdr:cNvPr id="4" name="Grafik 3" descr="Dokument mit einfarbiger Füllung">
            <a:extLst>
              <a:ext uri="{FF2B5EF4-FFF2-40B4-BE49-F238E27FC236}">
                <a16:creationId xmlns:a16="http://schemas.microsoft.com/office/drawing/2014/main" id="{0DD5F190-C538-03C2-410F-49298AFE88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rcRect/>
          <a:stretch/>
        </xdr:blipFill>
        <xdr:spPr>
          <a:xfrm>
            <a:off x="1129614" y="1736930"/>
            <a:ext cx="1255497" cy="1236812"/>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1471613</xdr:colOff>
      <xdr:row>0</xdr:row>
      <xdr:rowOff>19050</xdr:rowOff>
    </xdr:from>
    <xdr:to>
      <xdr:col>5</xdr:col>
      <xdr:colOff>481012</xdr:colOff>
      <xdr:row>2</xdr:row>
      <xdr:rowOff>161925</xdr:rowOff>
    </xdr:to>
    <xdr:grpSp>
      <xdr:nvGrpSpPr>
        <xdr:cNvPr id="99" name="Gruppieren 98">
          <a:extLst>
            <a:ext uri="{FF2B5EF4-FFF2-40B4-BE49-F238E27FC236}">
              <a16:creationId xmlns:a16="http://schemas.microsoft.com/office/drawing/2014/main" id="{0191D75B-799E-45DA-AB42-DD79116FE0BD}"/>
            </a:ext>
          </a:extLst>
        </xdr:cNvPr>
        <xdr:cNvGrpSpPr/>
      </xdr:nvGrpSpPr>
      <xdr:grpSpPr>
        <a:xfrm>
          <a:off x="6180773" y="19050"/>
          <a:ext cx="685799" cy="523875"/>
          <a:chOff x="9315451" y="2695575"/>
          <a:chExt cx="857250" cy="790575"/>
        </a:xfrm>
      </xdr:grpSpPr>
      <xdr:sp macro="[0]!Settings_Navigation" textlink="">
        <xdr:nvSpPr>
          <xdr:cNvPr id="100" name="Rechteck: abgerundete Ecken 99">
            <a:extLst>
              <a:ext uri="{FF2B5EF4-FFF2-40B4-BE49-F238E27FC236}">
                <a16:creationId xmlns:a16="http://schemas.microsoft.com/office/drawing/2014/main" id="{84684EF8-5605-4DBC-0AD7-395E50640AEF}"/>
              </a:ext>
            </a:extLst>
          </xdr:cNvPr>
          <xdr:cNvSpPr/>
        </xdr:nvSpPr>
        <xdr:spPr>
          <a:xfrm>
            <a:off x="9315451" y="2724150"/>
            <a:ext cx="857250" cy="752475"/>
          </a:xfrm>
          <a:prstGeom prst="roundRect">
            <a:avLst/>
          </a:prstGeom>
          <a:solidFill>
            <a:schemeClr val="bg2">
              <a:lumMod val="9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Settings_Navigation">
        <xdr:nvPicPr>
          <xdr:cNvPr id="101" name="Grafik 100" descr="Zahnrad mit einfarbiger Füllung">
            <a:extLst>
              <a:ext uri="{FF2B5EF4-FFF2-40B4-BE49-F238E27FC236}">
                <a16:creationId xmlns:a16="http://schemas.microsoft.com/office/drawing/2014/main" id="{DAFB7227-3C3F-AD70-032C-D78BFBB822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363075" y="2695575"/>
            <a:ext cx="790575" cy="790575"/>
          </a:xfrm>
          <a:prstGeom prst="rect">
            <a:avLst/>
          </a:prstGeom>
        </xdr:spPr>
      </xdr:pic>
    </xdr:grpSp>
    <xdr:clientData/>
  </xdr:twoCellAnchor>
  <xdr:twoCellAnchor editAs="oneCell">
    <xdr:from>
      <xdr:col>0</xdr:col>
      <xdr:colOff>1143000</xdr:colOff>
      <xdr:row>0</xdr:row>
      <xdr:rowOff>0</xdr:rowOff>
    </xdr:from>
    <xdr:to>
      <xdr:col>1</xdr:col>
      <xdr:colOff>314325</xdr:colOff>
      <xdr:row>2</xdr:row>
      <xdr:rowOff>180975</xdr:rowOff>
    </xdr:to>
    <xdr:pic macro="[0]!Home_Navigation">
      <xdr:nvPicPr>
        <xdr:cNvPr id="102" name="Grafik 101" descr="Start mit einfarbiger Füllung">
          <a:extLst>
            <a:ext uri="{FF2B5EF4-FFF2-40B4-BE49-F238E27FC236}">
              <a16:creationId xmlns:a16="http://schemas.microsoft.com/office/drawing/2014/main" id="{C6C07F53-B110-4EFD-A215-D347C93D282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43000" y="0"/>
          <a:ext cx="561975" cy="561975"/>
        </a:xfrm>
        <a:prstGeom prst="rect">
          <a:avLst/>
        </a:prstGeom>
      </xdr:spPr>
    </xdr:pic>
    <xdr:clientData/>
  </xdr:twoCellAnchor>
  <xdr:twoCellAnchor editAs="absolute">
    <xdr:from>
      <xdr:col>4</xdr:col>
      <xdr:colOff>631825</xdr:colOff>
      <xdr:row>0</xdr:row>
      <xdr:rowOff>31673</xdr:rowOff>
    </xdr:from>
    <xdr:to>
      <xdr:col>4</xdr:col>
      <xdr:colOff>1269999</xdr:colOff>
      <xdr:row>2</xdr:row>
      <xdr:rowOff>149301</xdr:rowOff>
    </xdr:to>
    <xdr:grpSp>
      <xdr:nvGrpSpPr>
        <xdr:cNvPr id="103" name="Gruppieren 102">
          <a:extLst>
            <a:ext uri="{FF2B5EF4-FFF2-40B4-BE49-F238E27FC236}">
              <a16:creationId xmlns:a16="http://schemas.microsoft.com/office/drawing/2014/main" id="{0A2BED80-1C63-450A-B9F7-CB6746E33750}"/>
            </a:ext>
          </a:extLst>
        </xdr:cNvPr>
        <xdr:cNvGrpSpPr/>
      </xdr:nvGrpSpPr>
      <xdr:grpSpPr>
        <a:xfrm>
          <a:off x="5340985" y="31673"/>
          <a:ext cx="638174" cy="498628"/>
          <a:chOff x="8353426" y="2724150"/>
          <a:chExt cx="857250" cy="752475"/>
        </a:xfrm>
      </xdr:grpSpPr>
      <xdr:sp macro="[0]!Investment_Krypto_Navigation" textlink="">
        <xdr:nvSpPr>
          <xdr:cNvPr id="104" name="Rechteck: abgerundete Ecken 103">
            <a:extLst>
              <a:ext uri="{FF2B5EF4-FFF2-40B4-BE49-F238E27FC236}">
                <a16:creationId xmlns:a16="http://schemas.microsoft.com/office/drawing/2014/main" id="{A0596DDA-2A5E-F3C7-06EB-CAEEC91AA3E8}"/>
              </a:ext>
            </a:extLst>
          </xdr:cNvPr>
          <xdr:cNvSpPr/>
        </xdr:nvSpPr>
        <xdr:spPr>
          <a:xfrm>
            <a:off x="8353426" y="2724150"/>
            <a:ext cx="857250" cy="752475"/>
          </a:xfrm>
          <a:prstGeom prst="roundRect">
            <a:avLst/>
          </a:prstGeom>
          <a:solidFill>
            <a:srgbClr val="CAE9F6"/>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Investment_Krypto_Navigation">
        <xdr:nvPicPr>
          <xdr:cNvPr id="105" name="Grafik 104" descr="Blockchain mit einfarbiger Füllung">
            <a:extLst>
              <a:ext uri="{FF2B5EF4-FFF2-40B4-BE49-F238E27FC236}">
                <a16:creationId xmlns:a16="http://schemas.microsoft.com/office/drawing/2014/main" id="{1CC985D3-5175-3AE3-0504-D975DA09FBA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505825" y="2781300"/>
            <a:ext cx="590550" cy="590550"/>
          </a:xfrm>
          <a:prstGeom prst="rect">
            <a:avLst/>
          </a:prstGeom>
        </xdr:spPr>
      </xdr:pic>
    </xdr:grpSp>
    <xdr:clientData/>
  </xdr:twoCellAnchor>
  <xdr:twoCellAnchor editAs="absolute">
    <xdr:from>
      <xdr:col>3</xdr:col>
      <xdr:colOff>285751</xdr:colOff>
      <xdr:row>0</xdr:row>
      <xdr:rowOff>31673</xdr:rowOff>
    </xdr:from>
    <xdr:to>
      <xdr:col>3</xdr:col>
      <xdr:colOff>923925</xdr:colOff>
      <xdr:row>2</xdr:row>
      <xdr:rowOff>149301</xdr:rowOff>
    </xdr:to>
    <xdr:grpSp>
      <xdr:nvGrpSpPr>
        <xdr:cNvPr id="106" name="Gruppieren 105">
          <a:extLst>
            <a:ext uri="{FF2B5EF4-FFF2-40B4-BE49-F238E27FC236}">
              <a16:creationId xmlns:a16="http://schemas.microsoft.com/office/drawing/2014/main" id="{B47BF929-B605-4363-ACFA-4A57966AFB05}"/>
            </a:ext>
          </a:extLst>
        </xdr:cNvPr>
        <xdr:cNvGrpSpPr/>
      </xdr:nvGrpSpPr>
      <xdr:grpSpPr>
        <a:xfrm>
          <a:off x="3623311" y="31673"/>
          <a:ext cx="638174" cy="498628"/>
          <a:chOff x="10382251" y="2695575"/>
          <a:chExt cx="857250" cy="752475"/>
        </a:xfrm>
      </xdr:grpSpPr>
      <xdr:sp macro="[0]!Budget_Dashboard_Navigation" textlink="">
        <xdr:nvSpPr>
          <xdr:cNvPr id="107" name="Rechteck: abgerundete Ecken 106">
            <a:extLst>
              <a:ext uri="{FF2B5EF4-FFF2-40B4-BE49-F238E27FC236}">
                <a16:creationId xmlns:a16="http://schemas.microsoft.com/office/drawing/2014/main" id="{DBFB3E8F-38AC-8F18-B409-56BC705A31C4}"/>
              </a:ext>
            </a:extLst>
          </xdr:cNvPr>
          <xdr:cNvSpPr/>
        </xdr:nvSpPr>
        <xdr:spPr>
          <a:xfrm>
            <a:off x="10382251" y="2695575"/>
            <a:ext cx="857250" cy="752475"/>
          </a:xfrm>
          <a:prstGeom prst="roundRect">
            <a:avLst/>
          </a:prstGeom>
          <a:solidFill>
            <a:schemeClr val="accent6">
              <a:lumMod val="20000"/>
              <a:lumOff val="8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Budget_Dashboard_Navigation">
        <xdr:nvPicPr>
          <xdr:cNvPr id="108" name="Grafik 107" descr="Balkendiagramm mit einfarbiger Füllung">
            <a:extLst>
              <a:ext uri="{FF2B5EF4-FFF2-40B4-BE49-F238E27FC236}">
                <a16:creationId xmlns:a16="http://schemas.microsoft.com/office/drawing/2014/main" id="{D0A19332-1F98-55A8-D380-4826B6EEC7E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448925" y="2705100"/>
            <a:ext cx="723900" cy="723900"/>
          </a:xfrm>
          <a:prstGeom prst="rect">
            <a:avLst/>
          </a:prstGeom>
        </xdr:spPr>
      </xdr:pic>
    </xdr:grpSp>
    <xdr:clientData/>
  </xdr:twoCellAnchor>
  <xdr:twoCellAnchor editAs="absolute">
    <xdr:from>
      <xdr:col>3</xdr:col>
      <xdr:colOff>1125538</xdr:colOff>
      <xdr:row>0</xdr:row>
      <xdr:rowOff>31673</xdr:rowOff>
    </xdr:from>
    <xdr:to>
      <xdr:col>4</xdr:col>
      <xdr:colOff>430212</xdr:colOff>
      <xdr:row>2</xdr:row>
      <xdr:rowOff>149301</xdr:rowOff>
    </xdr:to>
    <xdr:grpSp>
      <xdr:nvGrpSpPr>
        <xdr:cNvPr id="109" name="Gruppieren 108">
          <a:extLst>
            <a:ext uri="{FF2B5EF4-FFF2-40B4-BE49-F238E27FC236}">
              <a16:creationId xmlns:a16="http://schemas.microsoft.com/office/drawing/2014/main" id="{D039C693-BE49-407B-A94E-543C647A2335}"/>
            </a:ext>
          </a:extLst>
        </xdr:cNvPr>
        <xdr:cNvGrpSpPr/>
      </xdr:nvGrpSpPr>
      <xdr:grpSpPr>
        <a:xfrm>
          <a:off x="4463098" y="31673"/>
          <a:ext cx="676274" cy="498628"/>
          <a:chOff x="7391401" y="2724150"/>
          <a:chExt cx="857250" cy="752475"/>
        </a:xfrm>
      </xdr:grpSpPr>
      <xdr:sp macro="[0]!Net_Worth_Navigation" textlink="">
        <xdr:nvSpPr>
          <xdr:cNvPr id="110" name="Rechteck: abgerundete Ecken 109">
            <a:extLst>
              <a:ext uri="{FF2B5EF4-FFF2-40B4-BE49-F238E27FC236}">
                <a16:creationId xmlns:a16="http://schemas.microsoft.com/office/drawing/2014/main" id="{ABDD48DD-735E-6E2F-EDD1-E3EA2717D154}"/>
              </a:ext>
            </a:extLst>
          </xdr:cNvPr>
          <xdr:cNvSpPr/>
        </xdr:nvSpPr>
        <xdr:spPr>
          <a:xfrm>
            <a:off x="7391401" y="2724150"/>
            <a:ext cx="857250" cy="752475"/>
          </a:xfrm>
          <a:prstGeom prst="roundRect">
            <a:avLst/>
          </a:prstGeom>
          <a:solidFill>
            <a:srgbClr val="FFD757"/>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Net_Worth_Navigation">
        <xdr:nvPicPr>
          <xdr:cNvPr id="111" name="Grafik 110" descr="Schatztruhe mit einfarbiger Füllung">
            <a:extLst>
              <a:ext uri="{FF2B5EF4-FFF2-40B4-BE49-F238E27FC236}">
                <a16:creationId xmlns:a16="http://schemas.microsoft.com/office/drawing/2014/main" id="{DC6E2E38-2653-C0FC-AAD9-6B46380B541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486650" y="2733675"/>
            <a:ext cx="704850" cy="704850"/>
          </a:xfrm>
          <a:prstGeom prst="rect">
            <a:avLst/>
          </a:prstGeom>
        </xdr:spPr>
      </xdr:pic>
    </xdr:grpSp>
    <xdr:clientData/>
  </xdr:twoCellAnchor>
  <xdr:twoCellAnchor editAs="absolute">
    <xdr:from>
      <xdr:col>1</xdr:col>
      <xdr:colOff>515939</xdr:colOff>
      <xdr:row>0</xdr:row>
      <xdr:rowOff>31673</xdr:rowOff>
    </xdr:from>
    <xdr:to>
      <xdr:col>2</xdr:col>
      <xdr:colOff>392113</xdr:colOff>
      <xdr:row>2</xdr:row>
      <xdr:rowOff>149301</xdr:rowOff>
    </xdr:to>
    <xdr:grpSp>
      <xdr:nvGrpSpPr>
        <xdr:cNvPr id="112" name="Gruppieren 111">
          <a:extLst>
            <a:ext uri="{FF2B5EF4-FFF2-40B4-BE49-F238E27FC236}">
              <a16:creationId xmlns:a16="http://schemas.microsoft.com/office/drawing/2014/main" id="{B1A6176C-AF80-4DAC-AC3E-794D323B4976}"/>
            </a:ext>
          </a:extLst>
        </xdr:cNvPr>
        <xdr:cNvGrpSpPr/>
      </xdr:nvGrpSpPr>
      <xdr:grpSpPr>
        <a:xfrm>
          <a:off x="1948499" y="31673"/>
          <a:ext cx="607694" cy="498628"/>
          <a:chOff x="4924426" y="2695575"/>
          <a:chExt cx="857250" cy="752475"/>
        </a:xfrm>
      </xdr:grpSpPr>
      <xdr:sp macro="[0]!Budget_Planning_Navigation" textlink="">
        <xdr:nvSpPr>
          <xdr:cNvPr id="113" name="Rechteck: abgerundete Ecken 112">
            <a:extLst>
              <a:ext uri="{FF2B5EF4-FFF2-40B4-BE49-F238E27FC236}">
                <a16:creationId xmlns:a16="http://schemas.microsoft.com/office/drawing/2014/main" id="{2EDCC8A1-30F8-46EB-07E8-BB26A68117C9}"/>
              </a:ext>
            </a:extLst>
          </xdr:cNvPr>
          <xdr:cNvSpPr/>
        </xdr:nvSpPr>
        <xdr:spPr>
          <a:xfrm>
            <a:off x="4924426" y="2695575"/>
            <a:ext cx="857250" cy="752475"/>
          </a:xfrm>
          <a:prstGeom prst="roundRect">
            <a:avLst/>
          </a:prstGeom>
          <a:solidFill>
            <a:schemeClr val="accent6">
              <a:lumMod val="20000"/>
              <a:lumOff val="8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Budget_Planning_Navigation">
        <xdr:nvPicPr>
          <xdr:cNvPr id="114" name="Grafik 113" descr="Liste mit einfarbiger Füllung">
            <a:extLst>
              <a:ext uri="{FF2B5EF4-FFF2-40B4-BE49-F238E27FC236}">
                <a16:creationId xmlns:a16="http://schemas.microsoft.com/office/drawing/2014/main" id="{0FF60E18-F8D2-7C9A-8040-D67670B5A8D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067301" y="2771774"/>
            <a:ext cx="600076" cy="600076"/>
          </a:xfrm>
          <a:prstGeom prst="rect">
            <a:avLst/>
          </a:prstGeom>
        </xdr:spPr>
      </xdr:pic>
    </xdr:grpSp>
    <xdr:clientData/>
  </xdr:twoCellAnchor>
  <xdr:twoCellAnchor editAs="absolute">
    <xdr:from>
      <xdr:col>2</xdr:col>
      <xdr:colOff>593727</xdr:colOff>
      <xdr:row>0</xdr:row>
      <xdr:rowOff>31673</xdr:rowOff>
    </xdr:from>
    <xdr:to>
      <xdr:col>3</xdr:col>
      <xdr:colOff>84138</xdr:colOff>
      <xdr:row>2</xdr:row>
      <xdr:rowOff>149301</xdr:rowOff>
    </xdr:to>
    <xdr:grpSp>
      <xdr:nvGrpSpPr>
        <xdr:cNvPr id="115" name="Gruppieren 114">
          <a:extLst>
            <a:ext uri="{FF2B5EF4-FFF2-40B4-BE49-F238E27FC236}">
              <a16:creationId xmlns:a16="http://schemas.microsoft.com/office/drawing/2014/main" id="{EBB2ABDF-05B2-4000-909D-A141B2D24820}"/>
            </a:ext>
          </a:extLst>
        </xdr:cNvPr>
        <xdr:cNvGrpSpPr/>
      </xdr:nvGrpSpPr>
      <xdr:grpSpPr>
        <a:xfrm>
          <a:off x="2757807" y="31673"/>
          <a:ext cx="663891" cy="498628"/>
          <a:chOff x="8362951" y="2714625"/>
          <a:chExt cx="857250" cy="752475"/>
        </a:xfrm>
      </xdr:grpSpPr>
      <xdr:sp macro="[0]!Budget_Tracking_Navigation" textlink="">
        <xdr:nvSpPr>
          <xdr:cNvPr id="116" name="Rechteck: abgerundete Ecken 115">
            <a:extLst>
              <a:ext uri="{FF2B5EF4-FFF2-40B4-BE49-F238E27FC236}">
                <a16:creationId xmlns:a16="http://schemas.microsoft.com/office/drawing/2014/main" id="{3CC14B27-8AE4-A6F8-02AB-4DCAEF83FA2E}"/>
              </a:ext>
            </a:extLst>
          </xdr:cNvPr>
          <xdr:cNvSpPr/>
        </xdr:nvSpPr>
        <xdr:spPr>
          <a:xfrm>
            <a:off x="8362951" y="2714625"/>
            <a:ext cx="857250" cy="752475"/>
          </a:xfrm>
          <a:prstGeom prst="roundRect">
            <a:avLst/>
          </a:prstGeom>
          <a:solidFill>
            <a:schemeClr val="accent6">
              <a:lumMod val="20000"/>
              <a:lumOff val="80000"/>
            </a:schemeClr>
          </a:solidFill>
          <a:ln>
            <a:noFill/>
          </a:ln>
          <a:effectLst>
            <a:innerShdw blurRad="63500" dist="50800" dir="108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3200" b="1">
              <a:solidFill>
                <a:sysClr val="windowText" lastClr="000000"/>
              </a:solidFill>
            </a:endParaRPr>
          </a:p>
          <a:p>
            <a:pPr algn="l"/>
            <a:endParaRPr lang="de-DE" sz="3200" b="1">
              <a:solidFill>
                <a:sysClr val="windowText" lastClr="000000"/>
              </a:solidFill>
            </a:endParaRPr>
          </a:p>
        </xdr:txBody>
      </xdr:sp>
      <xdr:pic macro="[0]!Budget_Tracking_Navigation">
        <xdr:nvPicPr>
          <xdr:cNvPr id="117" name="Grafik 116" descr="Unterschrift mit einfarbiger Füllung">
            <a:extLst>
              <a:ext uri="{FF2B5EF4-FFF2-40B4-BE49-F238E27FC236}">
                <a16:creationId xmlns:a16="http://schemas.microsoft.com/office/drawing/2014/main" id="{7DBFD6F7-6EB1-B98A-70D9-DFB96582C94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436750" y="2740800"/>
            <a:ext cx="669150" cy="66915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457200</xdr:colOff>
      <xdr:row>0</xdr:row>
      <xdr:rowOff>0</xdr:rowOff>
    </xdr:from>
    <xdr:to>
      <xdr:col>3</xdr:col>
      <xdr:colOff>1019175</xdr:colOff>
      <xdr:row>2</xdr:row>
      <xdr:rowOff>180975</xdr:rowOff>
    </xdr:to>
    <xdr:pic macro="[0]!Home_Navigation">
      <xdr:nvPicPr>
        <xdr:cNvPr id="26" name="Grafik 25" descr="Start mit einfarbiger Füllung">
          <a:extLst>
            <a:ext uri="{FF2B5EF4-FFF2-40B4-BE49-F238E27FC236}">
              <a16:creationId xmlns:a16="http://schemas.microsoft.com/office/drawing/2014/main" id="{8FA1477A-ED71-46CE-A6B9-09D92DFA8E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162300" y="0"/>
          <a:ext cx="561975" cy="5619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1552575</xdr:colOff>
      <xdr:row>0</xdr:row>
      <xdr:rowOff>0</xdr:rowOff>
    </xdr:from>
    <xdr:to>
      <xdr:col>3</xdr:col>
      <xdr:colOff>561242</xdr:colOff>
      <xdr:row>2</xdr:row>
      <xdr:rowOff>180975</xdr:rowOff>
    </xdr:to>
    <xdr:pic macro="[0]!Home_Navigation">
      <xdr:nvPicPr>
        <xdr:cNvPr id="25" name="Grafik 24" descr="Start mit einfarbiger Füllung">
          <a:extLst>
            <a:ext uri="{FF2B5EF4-FFF2-40B4-BE49-F238E27FC236}">
              <a16:creationId xmlns:a16="http://schemas.microsoft.com/office/drawing/2014/main" id="{71BC9802-F097-474A-A7C3-C180ADD356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90800" y="0"/>
          <a:ext cx="561975" cy="5619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182880</xdr:colOff>
      <xdr:row>2</xdr:row>
      <xdr:rowOff>7620</xdr:rowOff>
    </xdr:from>
    <xdr:to>
      <xdr:col>2</xdr:col>
      <xdr:colOff>678180</xdr:colOff>
      <xdr:row>6</xdr:row>
      <xdr:rowOff>7620</xdr:rowOff>
    </xdr:to>
    <xdr:grpSp>
      <xdr:nvGrpSpPr>
        <xdr:cNvPr id="5" name="Gruppieren 4">
          <a:extLst>
            <a:ext uri="{FF2B5EF4-FFF2-40B4-BE49-F238E27FC236}">
              <a16:creationId xmlns:a16="http://schemas.microsoft.com/office/drawing/2014/main" id="{85D76A66-B704-4072-BC67-CF424BFC9586}"/>
            </a:ext>
          </a:extLst>
        </xdr:cNvPr>
        <xdr:cNvGrpSpPr/>
      </xdr:nvGrpSpPr>
      <xdr:grpSpPr>
        <a:xfrm>
          <a:off x="182880" y="373380"/>
          <a:ext cx="1905000" cy="731520"/>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AlleTemplatesSpeichern" textlink="">
        <xdr:nvSpPr>
          <xdr:cNvPr id="6" name="Rechteck: abgerundete Ecken 5">
            <a:extLst>
              <a:ext uri="{FF2B5EF4-FFF2-40B4-BE49-F238E27FC236}">
                <a16:creationId xmlns:a16="http://schemas.microsoft.com/office/drawing/2014/main" id="{D05C1AC1-C1CB-2D84-750C-EF90776C43AC}"/>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AlleTemplatesSpeichern" textlink="">
        <xdr:nvSpPr>
          <xdr:cNvPr id="7" name="Textfeld 6">
            <a:extLst>
              <a:ext uri="{FF2B5EF4-FFF2-40B4-BE49-F238E27FC236}">
                <a16:creationId xmlns:a16="http://schemas.microsoft.com/office/drawing/2014/main" id="{1DA277C6-B208-24EB-7CBB-54CCCAE89058}"/>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Templates Speichern</a:t>
            </a:r>
            <a:endParaRPr lang="de-DE" sz="1000"/>
          </a:p>
        </xdr:txBody>
      </xdr:sp>
    </xdr:grpSp>
    <xdr:clientData/>
  </xdr:twoCellAnchor>
  <xdr:twoCellAnchor editAs="absolute">
    <xdr:from>
      <xdr:col>2</xdr:col>
      <xdr:colOff>1013460</xdr:colOff>
      <xdr:row>2</xdr:row>
      <xdr:rowOff>7620</xdr:rowOff>
    </xdr:from>
    <xdr:to>
      <xdr:col>3</xdr:col>
      <xdr:colOff>198120</xdr:colOff>
      <xdr:row>6</xdr:row>
      <xdr:rowOff>7620</xdr:rowOff>
    </xdr:to>
    <xdr:grpSp>
      <xdr:nvGrpSpPr>
        <xdr:cNvPr id="11" name="Gruppieren 10">
          <a:extLst>
            <a:ext uri="{FF2B5EF4-FFF2-40B4-BE49-F238E27FC236}">
              <a16:creationId xmlns:a16="http://schemas.microsoft.com/office/drawing/2014/main" id="{67749FC8-C90D-4FCD-8AD1-C503A6CE6031}"/>
            </a:ext>
          </a:extLst>
        </xdr:cNvPr>
        <xdr:cNvGrpSpPr/>
      </xdr:nvGrpSpPr>
      <xdr:grpSpPr>
        <a:xfrm>
          <a:off x="2423160" y="373380"/>
          <a:ext cx="1203960" cy="731520"/>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ImportKontoauszuege" textlink="">
        <xdr:nvSpPr>
          <xdr:cNvPr id="12" name="Rechteck: abgerundete Ecken 11">
            <a:extLst>
              <a:ext uri="{FF2B5EF4-FFF2-40B4-BE49-F238E27FC236}">
                <a16:creationId xmlns:a16="http://schemas.microsoft.com/office/drawing/2014/main" id="{3747DCCB-911E-9F3C-C4DA-36D869EFB1E7}"/>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DatenInTrackingTransferieren" textlink="">
        <xdr:nvSpPr>
          <xdr:cNvPr id="13" name="Textfeld 12">
            <a:extLst>
              <a:ext uri="{FF2B5EF4-FFF2-40B4-BE49-F238E27FC236}">
                <a16:creationId xmlns:a16="http://schemas.microsoft.com/office/drawing/2014/main" id="{DCA74ADA-AD42-D2A9-9066-149D4A882A32}"/>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Transfer</a:t>
            </a:r>
            <a:endParaRPr lang="de-DE" sz="10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676275</xdr:colOff>
      <xdr:row>0</xdr:row>
      <xdr:rowOff>19050</xdr:rowOff>
    </xdr:from>
    <xdr:to>
      <xdr:col>3</xdr:col>
      <xdr:colOff>1238250</xdr:colOff>
      <xdr:row>3</xdr:row>
      <xdr:rowOff>9525</xdr:rowOff>
    </xdr:to>
    <xdr:pic macro="[0]!Home_Navigation">
      <xdr:nvPicPr>
        <xdr:cNvPr id="25" name="Grafik 24" descr="Start mit einfarbiger Füllung">
          <a:extLst>
            <a:ext uri="{FF2B5EF4-FFF2-40B4-BE49-F238E27FC236}">
              <a16:creationId xmlns:a16="http://schemas.microsoft.com/office/drawing/2014/main" id="{68C6785D-DC06-4AA4-AFCC-F9FEB6441B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43050" y="19050"/>
          <a:ext cx="5619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638175</xdr:colOff>
      <xdr:row>0</xdr:row>
      <xdr:rowOff>19050</xdr:rowOff>
    </xdr:from>
    <xdr:to>
      <xdr:col>2</xdr:col>
      <xdr:colOff>1200150</xdr:colOff>
      <xdr:row>3</xdr:row>
      <xdr:rowOff>1587</xdr:rowOff>
    </xdr:to>
    <xdr:pic macro="[0]!Home_Navigation">
      <xdr:nvPicPr>
        <xdr:cNvPr id="6" name="Grafik 5" descr="Start mit einfarbiger Füllung">
          <a:extLst>
            <a:ext uri="{FF2B5EF4-FFF2-40B4-BE49-F238E27FC236}">
              <a16:creationId xmlns:a16="http://schemas.microsoft.com/office/drawing/2014/main" id="{F5DA3871-6955-4A71-A978-0C2FFDB56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28700" y="19050"/>
          <a:ext cx="561975" cy="5619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28573</xdr:colOff>
      <xdr:row>3</xdr:row>
      <xdr:rowOff>100541</xdr:rowOff>
    </xdr:from>
    <xdr:to>
      <xdr:col>3</xdr:col>
      <xdr:colOff>335826</xdr:colOff>
      <xdr:row>9</xdr:row>
      <xdr:rowOff>4559</xdr:rowOff>
    </xdr:to>
    <xdr:grpSp>
      <xdr:nvGrpSpPr>
        <xdr:cNvPr id="14" name="Gruppieren 13">
          <a:extLst>
            <a:ext uri="{FF2B5EF4-FFF2-40B4-BE49-F238E27FC236}">
              <a16:creationId xmlns:a16="http://schemas.microsoft.com/office/drawing/2014/main" id="{DB534E37-2BB4-6DC8-2BDD-79DB87880BBD}"/>
            </a:ext>
          </a:extLst>
        </xdr:cNvPr>
        <xdr:cNvGrpSpPr/>
      </xdr:nvGrpSpPr>
      <xdr:grpSpPr>
        <a:xfrm>
          <a:off x="432433" y="672041"/>
          <a:ext cx="1838873" cy="1001298"/>
          <a:chOff x="3533774" y="714374"/>
          <a:chExt cx="1617822" cy="1038225"/>
        </a:xfrm>
      </xdr:grpSpPr>
      <xdr:grpSp>
        <xdr:nvGrpSpPr>
          <xdr:cNvPr id="13" name="Gruppieren 12">
            <a:extLst>
              <a:ext uri="{FF2B5EF4-FFF2-40B4-BE49-F238E27FC236}">
                <a16:creationId xmlns:a16="http://schemas.microsoft.com/office/drawing/2014/main" id="{3E2D38F2-9B77-2B70-0728-212294E27D56}"/>
              </a:ext>
            </a:extLst>
          </xdr:cNvPr>
          <xdr:cNvGrpSpPr/>
        </xdr:nvGrpSpPr>
        <xdr:grpSpPr>
          <a:xfrm>
            <a:off x="3533774" y="714374"/>
            <a:ext cx="1529673" cy="1038225"/>
            <a:chOff x="1533524" y="761999"/>
            <a:chExt cx="1529673" cy="1038225"/>
          </a:xfrm>
        </xdr:grpSpPr>
        <xdr:sp macro="" textlink="">
          <xdr:nvSpPr>
            <xdr:cNvPr id="4" name="Rechteck: abgerundete Ecken 3">
              <a:extLst>
                <a:ext uri="{FF2B5EF4-FFF2-40B4-BE49-F238E27FC236}">
                  <a16:creationId xmlns:a16="http://schemas.microsoft.com/office/drawing/2014/main" id="{B1FEBA5A-E8A5-5D76-E5E2-CA3ABAB83038}"/>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7">
          <xdr:nvSpPr>
            <xdr:cNvPr id="12" name="Textfeld 11">
              <a:extLst>
                <a:ext uri="{FF2B5EF4-FFF2-40B4-BE49-F238E27FC236}">
                  <a16:creationId xmlns:a16="http://schemas.microsoft.com/office/drawing/2014/main" id="{2D3EC750-5F93-42AD-BF9B-DDC5297B2696}"/>
                </a:ext>
              </a:extLst>
            </xdr:cNvPr>
            <xdr:cNvSpPr txBox="1"/>
          </xdr:nvSpPr>
          <xdr:spPr>
            <a:xfrm>
              <a:off x="1744889" y="1209674"/>
              <a:ext cx="931984"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C985E0-D847-42D8-A493-87EB0942CB77}" type="TxLink">
                <a:rPr lang="en-US" sz="1600" b="1" i="0" u="none" strike="noStrike">
                  <a:solidFill>
                    <a:srgbClr val="000000"/>
                  </a:solidFill>
                  <a:latin typeface="Aptos Narrow"/>
                </a:rPr>
                <a:pPr/>
                <a:t>14. Mrz 26</a:t>
              </a:fld>
              <a:endParaRPr lang="de-DE" sz="1200" b="1"/>
            </a:p>
          </xdr:txBody>
        </xdr:sp>
      </xdr:grpSp>
      <xdr:sp macro="" textlink="">
        <xdr:nvSpPr>
          <xdr:cNvPr id="5" name="Textfeld 4">
            <a:extLst>
              <a:ext uri="{FF2B5EF4-FFF2-40B4-BE49-F238E27FC236}">
                <a16:creationId xmlns:a16="http://schemas.microsoft.com/office/drawing/2014/main" id="{8E17249F-3004-9544-E407-F1A48E36615E}"/>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Aktuelles</a:t>
            </a:r>
            <a:r>
              <a:rPr lang="de-DE" sz="1600" b="1" baseline="0">
                <a:latin typeface="Calibri" panose="020F0502020204030204" pitchFamily="34" charset="0"/>
                <a:ea typeface="Calibri" panose="020F0502020204030204" pitchFamily="34" charset="0"/>
                <a:cs typeface="Calibri" panose="020F0502020204030204" pitchFamily="34" charset="0"/>
              </a:rPr>
              <a:t> Datum</a:t>
            </a:r>
            <a:endParaRPr lang="de-DE" sz="1050"/>
          </a:p>
        </xdr:txBody>
      </xdr:sp>
    </xdr:grpSp>
    <xdr:clientData/>
  </xdr:twoCellAnchor>
  <xdr:twoCellAnchor>
    <xdr:from>
      <xdr:col>3</xdr:col>
      <xdr:colOff>511407</xdr:colOff>
      <xdr:row>3</xdr:row>
      <xdr:rowOff>111124</xdr:rowOff>
    </xdr:from>
    <xdr:to>
      <xdr:col>4</xdr:col>
      <xdr:colOff>1626577</xdr:colOff>
      <xdr:row>9</xdr:row>
      <xdr:rowOff>6349</xdr:rowOff>
    </xdr:to>
    <xdr:grpSp>
      <xdr:nvGrpSpPr>
        <xdr:cNvPr id="21" name="Gruppieren 20">
          <a:extLst>
            <a:ext uri="{FF2B5EF4-FFF2-40B4-BE49-F238E27FC236}">
              <a16:creationId xmlns:a16="http://schemas.microsoft.com/office/drawing/2014/main" id="{8A94D26C-1A47-683E-6EA4-3855D49B395D}"/>
            </a:ext>
          </a:extLst>
        </xdr:cNvPr>
        <xdr:cNvGrpSpPr/>
      </xdr:nvGrpSpPr>
      <xdr:grpSpPr>
        <a:xfrm>
          <a:off x="2446887" y="682624"/>
          <a:ext cx="2646790" cy="992505"/>
          <a:chOff x="2381247" y="704849"/>
          <a:chExt cx="2894261" cy="1038225"/>
        </a:xfrm>
      </xdr:grpSpPr>
      <xdr:grpSp>
        <xdr:nvGrpSpPr>
          <xdr:cNvPr id="15" name="Gruppieren 14">
            <a:extLst>
              <a:ext uri="{FF2B5EF4-FFF2-40B4-BE49-F238E27FC236}">
                <a16:creationId xmlns:a16="http://schemas.microsoft.com/office/drawing/2014/main" id="{2D4A5ABA-87A6-41BB-A9F3-4F01667D3AD4}"/>
              </a:ext>
            </a:extLst>
          </xdr:cNvPr>
          <xdr:cNvGrpSpPr/>
        </xdr:nvGrpSpPr>
        <xdr:grpSpPr>
          <a:xfrm>
            <a:off x="2381247" y="704849"/>
            <a:ext cx="2894261" cy="1038225"/>
            <a:chOff x="3533774" y="714374"/>
            <a:chExt cx="1627782" cy="1038225"/>
          </a:xfrm>
        </xdr:grpSpPr>
        <xdr:grpSp>
          <xdr:nvGrpSpPr>
            <xdr:cNvPr id="16" name="Gruppieren 15">
              <a:extLst>
                <a:ext uri="{FF2B5EF4-FFF2-40B4-BE49-F238E27FC236}">
                  <a16:creationId xmlns:a16="http://schemas.microsoft.com/office/drawing/2014/main" id="{B9BE5A7D-F3F5-475F-DE7E-E3C4FA9CFDF4}"/>
                </a:ext>
              </a:extLst>
            </xdr:cNvPr>
            <xdr:cNvGrpSpPr/>
          </xdr:nvGrpSpPr>
          <xdr:grpSpPr>
            <a:xfrm>
              <a:off x="3533774" y="714374"/>
              <a:ext cx="1627782" cy="1038225"/>
              <a:chOff x="1533524" y="761999"/>
              <a:chExt cx="1627782" cy="1038225"/>
            </a:xfrm>
          </xdr:grpSpPr>
          <xdr:sp macro="" textlink="">
            <xdr:nvSpPr>
              <xdr:cNvPr id="18" name="Rechteck: abgerundete Ecken 17">
                <a:extLst>
                  <a:ext uri="{FF2B5EF4-FFF2-40B4-BE49-F238E27FC236}">
                    <a16:creationId xmlns:a16="http://schemas.microsoft.com/office/drawing/2014/main" id="{BF77DA0C-BDCA-1424-E029-0832356E7F1D}"/>
                  </a:ext>
                </a:extLst>
              </xdr:cNvPr>
              <xdr:cNvSpPr/>
            </xdr:nvSpPr>
            <xdr:spPr>
              <a:xfrm>
                <a:off x="1533524" y="761999"/>
                <a:ext cx="1627782"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8">
            <xdr:nvSpPr>
              <xdr:cNvPr id="19" name="Textfeld 18">
                <a:extLst>
                  <a:ext uri="{FF2B5EF4-FFF2-40B4-BE49-F238E27FC236}">
                    <a16:creationId xmlns:a16="http://schemas.microsoft.com/office/drawing/2014/main" id="{9A1B263D-3E42-C1CF-5454-08A55BCC86AB}"/>
                  </a:ext>
                </a:extLst>
              </xdr:cNvPr>
              <xdr:cNvSpPr txBox="1"/>
            </xdr:nvSpPr>
            <xdr:spPr>
              <a:xfrm>
                <a:off x="1533524" y="1200149"/>
                <a:ext cx="6891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2DDF901-573E-49C1-92F2-BDB8CE39BA70}" type="TxLink">
                  <a:rPr lang="en-US" sz="1600" b="1" i="0" u="none" strike="noStrike">
                    <a:solidFill>
                      <a:srgbClr val="000000"/>
                    </a:solidFill>
                    <a:latin typeface="Aptos Narrow"/>
                  </a:rPr>
                  <a:pPr/>
                  <a:t>0. Jan 00</a:t>
                </a:fld>
                <a:endParaRPr lang="de-DE" sz="1800" b="1"/>
              </a:p>
            </xdr:txBody>
          </xdr:sp>
        </xdr:grpSp>
        <xdr:sp macro="" textlink="">
          <xdr:nvSpPr>
            <xdr:cNvPr id="17" name="Textfeld 16">
              <a:extLst>
                <a:ext uri="{FF2B5EF4-FFF2-40B4-BE49-F238E27FC236}">
                  <a16:creationId xmlns:a16="http://schemas.microsoft.com/office/drawing/2014/main" id="{7E7356F7-3580-E1AC-4943-DB9B915C87AF}"/>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Letzter Eintrag</a:t>
              </a:r>
              <a:endParaRPr lang="de-DE" sz="1050"/>
            </a:p>
          </xdr:txBody>
        </xdr:sp>
      </xdr:grpSp>
      <xdr:sp macro="" textlink="Calculations!D9">
        <xdr:nvSpPr>
          <xdr:cNvPr id="20" name="Textfeld 19">
            <a:extLst>
              <a:ext uri="{FF2B5EF4-FFF2-40B4-BE49-F238E27FC236}">
                <a16:creationId xmlns:a16="http://schemas.microsoft.com/office/drawing/2014/main" id="{652E7EAE-62D1-4598-B169-16FB9DA04778}"/>
              </a:ext>
            </a:extLst>
          </xdr:cNvPr>
          <xdr:cNvSpPr txBox="1"/>
        </xdr:nvSpPr>
        <xdr:spPr>
          <a:xfrm>
            <a:off x="3450307" y="1142999"/>
            <a:ext cx="17540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208089-73D8-4DCE-AFD7-ABF230B93C25}" type="TxLink">
              <a:rPr lang="en-US" sz="1600" b="1" i="0" u="none" strike="noStrike">
                <a:solidFill>
                  <a:srgbClr val="000000"/>
                </a:solidFill>
                <a:latin typeface="Aptos Narrow"/>
              </a:rPr>
              <a:pPr algn="r"/>
              <a:t> </a:t>
            </a:fld>
            <a:endParaRPr lang="de-DE" sz="3200" b="1"/>
          </a:p>
        </xdr:txBody>
      </xdr:sp>
    </xdr:grpSp>
    <xdr:clientData/>
  </xdr:twoCellAnchor>
  <xdr:twoCellAnchor>
    <xdr:from>
      <xdr:col>4</xdr:col>
      <xdr:colOff>1679268</xdr:colOff>
      <xdr:row>3</xdr:row>
      <xdr:rowOff>95249</xdr:rowOff>
    </xdr:from>
    <xdr:to>
      <xdr:col>6</xdr:col>
      <xdr:colOff>1207010</xdr:colOff>
      <xdr:row>8</xdr:row>
      <xdr:rowOff>180974</xdr:rowOff>
    </xdr:to>
    <xdr:grpSp>
      <xdr:nvGrpSpPr>
        <xdr:cNvPr id="2" name="Gruppieren 1">
          <a:extLst>
            <a:ext uri="{FF2B5EF4-FFF2-40B4-BE49-F238E27FC236}">
              <a16:creationId xmlns:a16="http://schemas.microsoft.com/office/drawing/2014/main" id="{9F17C31A-DB63-4221-837E-938F7990993E}"/>
            </a:ext>
          </a:extLst>
        </xdr:cNvPr>
        <xdr:cNvGrpSpPr/>
      </xdr:nvGrpSpPr>
      <xdr:grpSpPr>
        <a:xfrm>
          <a:off x="5146368" y="666749"/>
          <a:ext cx="2766242" cy="1000125"/>
          <a:chOff x="2381248" y="704849"/>
          <a:chExt cx="2876552" cy="1038225"/>
        </a:xfrm>
      </xdr:grpSpPr>
      <xdr:grpSp>
        <xdr:nvGrpSpPr>
          <xdr:cNvPr id="3" name="Gruppieren 2">
            <a:extLst>
              <a:ext uri="{FF2B5EF4-FFF2-40B4-BE49-F238E27FC236}">
                <a16:creationId xmlns:a16="http://schemas.microsoft.com/office/drawing/2014/main" id="{4BDDD8AA-8887-8096-68B2-8827BBF35001}"/>
              </a:ext>
            </a:extLst>
          </xdr:cNvPr>
          <xdr:cNvGrpSpPr/>
        </xdr:nvGrpSpPr>
        <xdr:grpSpPr>
          <a:xfrm>
            <a:off x="2381248" y="704849"/>
            <a:ext cx="2876552" cy="1038225"/>
            <a:chOff x="3533774" y="714374"/>
            <a:chExt cx="1617822" cy="1038225"/>
          </a:xfrm>
        </xdr:grpSpPr>
        <xdr:grpSp>
          <xdr:nvGrpSpPr>
            <xdr:cNvPr id="7" name="Gruppieren 6">
              <a:extLst>
                <a:ext uri="{FF2B5EF4-FFF2-40B4-BE49-F238E27FC236}">
                  <a16:creationId xmlns:a16="http://schemas.microsoft.com/office/drawing/2014/main" id="{051B9A6A-F91C-CD9B-1D55-C844C89F80FA}"/>
                </a:ext>
              </a:extLst>
            </xdr:cNvPr>
            <xdr:cNvGrpSpPr/>
          </xdr:nvGrpSpPr>
          <xdr:grpSpPr>
            <a:xfrm>
              <a:off x="3533774" y="714374"/>
              <a:ext cx="1529673" cy="1038225"/>
              <a:chOff x="1533524" y="761999"/>
              <a:chExt cx="1529673" cy="1038225"/>
            </a:xfrm>
          </xdr:grpSpPr>
          <xdr:sp macro="" textlink="">
            <xdr:nvSpPr>
              <xdr:cNvPr id="9" name="Rechteck: abgerundete Ecken 8">
                <a:extLst>
                  <a:ext uri="{FF2B5EF4-FFF2-40B4-BE49-F238E27FC236}">
                    <a16:creationId xmlns:a16="http://schemas.microsoft.com/office/drawing/2014/main" id="{D8239204-6B70-259C-97DE-93E7CE00DEC7}"/>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0">
            <xdr:nvSpPr>
              <xdr:cNvPr id="10" name="Textfeld 9">
                <a:extLst>
                  <a:ext uri="{FF2B5EF4-FFF2-40B4-BE49-F238E27FC236}">
                    <a16:creationId xmlns:a16="http://schemas.microsoft.com/office/drawing/2014/main" id="{C9C4847B-F788-BC20-D977-73A1CF8B5340}"/>
                  </a:ext>
                </a:extLst>
              </xdr:cNvPr>
              <xdr:cNvSpPr txBox="1"/>
            </xdr:nvSpPr>
            <xdr:spPr>
              <a:xfrm>
                <a:off x="1572617" y="1200149"/>
                <a:ext cx="501500"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8772AE1-3F2B-4537-B024-5BE6AD2813DF}" type="TxLink">
                  <a:rPr lang="en-US" sz="1600" b="1" i="0" u="none" strike="noStrike">
                    <a:solidFill>
                      <a:srgbClr val="000000"/>
                    </a:solidFill>
                    <a:latin typeface="Aptos Narrow"/>
                  </a:rPr>
                  <a:pPr algn="ctr"/>
                  <a:t>0</a:t>
                </a:fld>
                <a:endParaRPr lang="de-DE" sz="3200" b="1"/>
              </a:p>
            </xdr:txBody>
          </xdr:sp>
        </xdr:grpSp>
        <xdr:sp macro="" textlink="">
          <xdr:nvSpPr>
            <xdr:cNvPr id="8" name="Textfeld 7">
              <a:extLst>
                <a:ext uri="{FF2B5EF4-FFF2-40B4-BE49-F238E27FC236}">
                  <a16:creationId xmlns:a16="http://schemas.microsoft.com/office/drawing/2014/main" id="{0D88B017-63B9-E28E-712B-C619C83D3503}"/>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Anzahl an</a:t>
              </a:r>
              <a:r>
                <a:rPr lang="de-DE" sz="1600" b="1" baseline="0">
                  <a:latin typeface="Calibri" panose="020F0502020204030204" pitchFamily="34" charset="0"/>
                  <a:ea typeface="Calibri" panose="020F0502020204030204" pitchFamily="34" charset="0"/>
                  <a:cs typeface="Calibri" panose="020F0502020204030204" pitchFamily="34" charset="0"/>
                </a:rPr>
                <a:t> Einträgen</a:t>
              </a:r>
              <a:endParaRPr lang="de-DE" sz="1050"/>
            </a:p>
          </xdr:txBody>
        </xdr:sp>
      </xdr:grpSp>
      <xdr:sp macro="" textlink="Calculations!D11">
        <xdr:nvSpPr>
          <xdr:cNvPr id="6" name="Textfeld 5">
            <a:extLst>
              <a:ext uri="{FF2B5EF4-FFF2-40B4-BE49-F238E27FC236}">
                <a16:creationId xmlns:a16="http://schemas.microsoft.com/office/drawing/2014/main" id="{B712D827-6D09-C3CB-3564-0D98F560F27F}"/>
              </a:ext>
            </a:extLst>
          </xdr:cNvPr>
          <xdr:cNvSpPr txBox="1"/>
        </xdr:nvSpPr>
        <xdr:spPr>
          <a:xfrm>
            <a:off x="3253181" y="1142999"/>
            <a:ext cx="1731227"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9A708AD-5652-4DAE-99A1-A9E1F98821A0}" type="TxLink">
              <a:rPr lang="en-US" sz="1600" b="1" i="0" u="none" strike="noStrike">
                <a:solidFill>
                  <a:srgbClr val="000000"/>
                </a:solidFill>
                <a:latin typeface="Aptos Narrow"/>
              </a:rPr>
              <a:pPr algn="r"/>
              <a:t>(0 dieses Jahr)</a:t>
            </a:fld>
            <a:endParaRPr lang="de-DE" sz="4800" b="1"/>
          </a:p>
        </xdr:txBody>
      </xdr:sp>
    </xdr:grpSp>
    <xdr:clientData/>
  </xdr:twoCellAnchor>
  <xdr:twoCellAnchor editAs="absolute">
    <xdr:from>
      <xdr:col>6</xdr:col>
      <xdr:colOff>1228723</xdr:colOff>
      <xdr:row>3</xdr:row>
      <xdr:rowOff>105833</xdr:rowOff>
    </xdr:from>
    <xdr:to>
      <xdr:col>10</xdr:col>
      <xdr:colOff>85285</xdr:colOff>
      <xdr:row>9</xdr:row>
      <xdr:rowOff>1058</xdr:rowOff>
    </xdr:to>
    <xdr:grpSp>
      <xdr:nvGrpSpPr>
        <xdr:cNvPr id="11" name="Gruppieren 10">
          <a:extLst>
            <a:ext uri="{FF2B5EF4-FFF2-40B4-BE49-F238E27FC236}">
              <a16:creationId xmlns:a16="http://schemas.microsoft.com/office/drawing/2014/main" id="{134573AD-F6EC-4B23-9F8A-E05DB84075F5}"/>
            </a:ext>
          </a:extLst>
        </xdr:cNvPr>
        <xdr:cNvGrpSpPr/>
      </xdr:nvGrpSpPr>
      <xdr:grpSpPr>
        <a:xfrm>
          <a:off x="7934323" y="677333"/>
          <a:ext cx="6568002" cy="992505"/>
          <a:chOff x="2381248" y="704849"/>
          <a:chExt cx="2876552" cy="1038225"/>
        </a:xfrm>
      </xdr:grpSpPr>
      <xdr:grpSp>
        <xdr:nvGrpSpPr>
          <xdr:cNvPr id="22" name="Gruppieren 21">
            <a:extLst>
              <a:ext uri="{FF2B5EF4-FFF2-40B4-BE49-F238E27FC236}">
                <a16:creationId xmlns:a16="http://schemas.microsoft.com/office/drawing/2014/main" id="{F79FE9C6-0F9C-54E7-6E9E-D38E1485E6A7}"/>
              </a:ext>
            </a:extLst>
          </xdr:cNvPr>
          <xdr:cNvGrpSpPr/>
        </xdr:nvGrpSpPr>
        <xdr:grpSpPr>
          <a:xfrm>
            <a:off x="2381248" y="704849"/>
            <a:ext cx="2876552" cy="1038225"/>
            <a:chOff x="3533774" y="714374"/>
            <a:chExt cx="1617822" cy="1038225"/>
          </a:xfrm>
        </xdr:grpSpPr>
        <xdr:grpSp>
          <xdr:nvGrpSpPr>
            <xdr:cNvPr id="24" name="Gruppieren 23">
              <a:extLst>
                <a:ext uri="{FF2B5EF4-FFF2-40B4-BE49-F238E27FC236}">
                  <a16:creationId xmlns:a16="http://schemas.microsoft.com/office/drawing/2014/main" id="{D9130E5D-F664-8267-8BFF-0DF3B0DFE3A4}"/>
                </a:ext>
              </a:extLst>
            </xdr:cNvPr>
            <xdr:cNvGrpSpPr/>
          </xdr:nvGrpSpPr>
          <xdr:grpSpPr>
            <a:xfrm>
              <a:off x="3533774" y="714374"/>
              <a:ext cx="1529673" cy="1038225"/>
              <a:chOff x="1533524" y="761999"/>
              <a:chExt cx="1529673" cy="1038225"/>
            </a:xfrm>
          </xdr:grpSpPr>
          <xdr:sp macro="" textlink="">
            <xdr:nvSpPr>
              <xdr:cNvPr id="26" name="Rechteck: abgerundete Ecken 25">
                <a:extLst>
                  <a:ext uri="{FF2B5EF4-FFF2-40B4-BE49-F238E27FC236}">
                    <a16:creationId xmlns:a16="http://schemas.microsoft.com/office/drawing/2014/main" id="{1C29CC11-6535-D36B-0F9A-20516EF66A79}"/>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2">
            <xdr:nvSpPr>
              <xdr:cNvPr id="27" name="Textfeld 26">
                <a:extLst>
                  <a:ext uri="{FF2B5EF4-FFF2-40B4-BE49-F238E27FC236}">
                    <a16:creationId xmlns:a16="http://schemas.microsoft.com/office/drawing/2014/main" id="{2A43E01C-631C-989D-C6B8-DD67E52688BD}"/>
                  </a:ext>
                </a:extLst>
              </xdr:cNvPr>
              <xdr:cNvSpPr txBox="1"/>
            </xdr:nvSpPr>
            <xdr:spPr>
              <a:xfrm>
                <a:off x="1566543" y="1200149"/>
                <a:ext cx="297737"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45D5168-966F-411F-810C-24AF828CED19}" type="TxLink">
                  <a:rPr lang="en-US" sz="1600" b="1" i="0" u="none" strike="noStrike">
                    <a:solidFill>
                      <a:srgbClr val="000000"/>
                    </a:solidFill>
                    <a:latin typeface="Aptos Narrow"/>
                  </a:rPr>
                  <a:pPr algn="ctr"/>
                  <a:t>-</a:t>
                </a:fld>
                <a:endParaRPr lang="de-DE" sz="4400" b="1"/>
              </a:p>
            </xdr:txBody>
          </xdr:sp>
        </xdr:grpSp>
        <xdr:sp macro="" textlink="">
          <xdr:nvSpPr>
            <xdr:cNvPr id="25" name="Textfeld 24">
              <a:extLst>
                <a:ext uri="{FF2B5EF4-FFF2-40B4-BE49-F238E27FC236}">
                  <a16:creationId xmlns:a16="http://schemas.microsoft.com/office/drawing/2014/main" id="{D00D4C12-7CC8-A394-F98A-9BCB1E895FDD}"/>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Tracking Bilanz</a:t>
              </a:r>
              <a:endParaRPr lang="de-DE" sz="1050"/>
            </a:p>
          </xdr:txBody>
        </xdr:sp>
      </xdr:grpSp>
      <xdr:sp macro="" textlink="Calculations!D13">
        <xdr:nvSpPr>
          <xdr:cNvPr id="23" name="Textfeld 22">
            <a:extLst>
              <a:ext uri="{FF2B5EF4-FFF2-40B4-BE49-F238E27FC236}">
                <a16:creationId xmlns:a16="http://schemas.microsoft.com/office/drawing/2014/main" id="{156B5303-AEBD-11BB-3B71-75086AC8FCEC}"/>
              </a:ext>
            </a:extLst>
          </xdr:cNvPr>
          <xdr:cNvSpPr txBox="1"/>
        </xdr:nvSpPr>
        <xdr:spPr>
          <a:xfrm>
            <a:off x="3018727" y="1142999"/>
            <a:ext cx="196568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355C728-8590-433D-A2C5-577AAB022BCF}" type="TxLink">
              <a:rPr lang="en-US" sz="1600" b="1" i="0" u="none" strike="noStrike">
                <a:solidFill>
                  <a:srgbClr val="000000"/>
                </a:solidFill>
                <a:latin typeface="Aptos Narrow"/>
              </a:rPr>
              <a:pPr algn="r"/>
              <a:t>Verfügbares Einkommen (noch nicht zugewiesen)</a:t>
            </a:fld>
            <a:endParaRPr lang="de-DE" sz="6600" b="1"/>
          </a:p>
        </xdr:txBody>
      </xdr:sp>
    </xdr:grpSp>
    <xdr:clientData/>
  </xdr:twoCellAnchor>
  <xdr:twoCellAnchor editAs="oneCell">
    <xdr:from>
      <xdr:col>3</xdr:col>
      <xdr:colOff>15875</xdr:colOff>
      <xdr:row>0</xdr:row>
      <xdr:rowOff>15876</xdr:rowOff>
    </xdr:from>
    <xdr:to>
      <xdr:col>3</xdr:col>
      <xdr:colOff>577850</xdr:colOff>
      <xdr:row>3</xdr:row>
      <xdr:rowOff>6351</xdr:rowOff>
    </xdr:to>
    <xdr:pic macro="[0]!Home_Navigation">
      <xdr:nvPicPr>
        <xdr:cNvPr id="51" name="Grafik 50" descr="Start mit einfarbiger Füllung">
          <a:extLst>
            <a:ext uri="{FF2B5EF4-FFF2-40B4-BE49-F238E27FC236}">
              <a16:creationId xmlns:a16="http://schemas.microsoft.com/office/drawing/2014/main" id="{DC005C70-DAD0-428F-B769-7DF8012C0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89125" y="15876"/>
          <a:ext cx="561975" cy="561975"/>
        </a:xfrm>
        <a:prstGeom prst="rect">
          <a:avLst/>
        </a:prstGeom>
      </xdr:spPr>
    </xdr:pic>
    <xdr:clientData/>
  </xdr:twoCellAnchor>
  <xdr:twoCellAnchor editAs="absolute">
    <xdr:from>
      <xdr:col>9</xdr:col>
      <xdr:colOff>1232729</xdr:colOff>
      <xdr:row>4</xdr:row>
      <xdr:rowOff>101714</xdr:rowOff>
    </xdr:from>
    <xdr:to>
      <xdr:col>11</xdr:col>
      <xdr:colOff>80806</xdr:colOff>
      <xdr:row>7</xdr:row>
      <xdr:rowOff>172330</xdr:rowOff>
    </xdr:to>
    <xdr:grpSp>
      <xdr:nvGrpSpPr>
        <xdr:cNvPr id="34" name="Gruppieren 33">
          <a:extLst>
            <a:ext uri="{FF2B5EF4-FFF2-40B4-BE49-F238E27FC236}">
              <a16:creationId xmlns:a16="http://schemas.microsoft.com/office/drawing/2014/main" id="{699119F4-CC21-49EB-946A-DFCE2941D361}"/>
            </a:ext>
          </a:extLst>
        </xdr:cNvPr>
        <xdr:cNvGrpSpPr/>
      </xdr:nvGrpSpPr>
      <xdr:grpSpPr>
        <a:xfrm>
          <a:off x="14377229" y="856094"/>
          <a:ext cx="1736057" cy="619256"/>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ImportKontoauszuege" textlink="">
        <xdr:nvSpPr>
          <xdr:cNvPr id="37" name="Rechteck: abgerundete Ecken 36">
            <a:extLst>
              <a:ext uri="{FF2B5EF4-FFF2-40B4-BE49-F238E27FC236}">
                <a16:creationId xmlns:a16="http://schemas.microsoft.com/office/drawing/2014/main" id="{DA15DC4E-3CEA-EA46-EF39-21D4D4F33E3B}"/>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BankImportStarten" textlink="">
        <xdr:nvSpPr>
          <xdr:cNvPr id="36" name="Textfeld 35">
            <a:extLst>
              <a:ext uri="{FF2B5EF4-FFF2-40B4-BE49-F238E27FC236}">
                <a16:creationId xmlns:a16="http://schemas.microsoft.com/office/drawing/2014/main" id="{803AEFA7-8310-30D0-E1E7-B32325DD8830}"/>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Import Kontoauszug</a:t>
            </a:r>
            <a:endParaRPr lang="de-DE" sz="1000"/>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25</xdr:col>
      <xdr:colOff>0</xdr:colOff>
      <xdr:row>0</xdr:row>
      <xdr:rowOff>0</xdr:rowOff>
    </xdr:from>
    <xdr:to>
      <xdr:col>25</xdr:col>
      <xdr:colOff>561975</xdr:colOff>
      <xdr:row>2</xdr:row>
      <xdr:rowOff>180975</xdr:rowOff>
    </xdr:to>
    <xdr:pic macro="[0]!Home_Navigation">
      <xdr:nvPicPr>
        <xdr:cNvPr id="44" name="Grafik 43" descr="Start mit einfarbiger Füllung">
          <a:extLst>
            <a:ext uri="{FF2B5EF4-FFF2-40B4-BE49-F238E27FC236}">
              <a16:creationId xmlns:a16="http://schemas.microsoft.com/office/drawing/2014/main" id="{A61CD887-AEF2-478C-A1C9-DAC92B6331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47875" y="0"/>
          <a:ext cx="561975" cy="561975"/>
        </a:xfrm>
        <a:prstGeom prst="rect">
          <a:avLst/>
        </a:prstGeom>
      </xdr:spPr>
    </xdr:pic>
    <xdr:clientData/>
  </xdr:twoCellAnchor>
  <xdr:twoCellAnchor editAs="oneCell">
    <xdr:from>
      <xdr:col>31</xdr:col>
      <xdr:colOff>15875</xdr:colOff>
      <xdr:row>12</xdr:row>
      <xdr:rowOff>55563</xdr:rowOff>
    </xdr:from>
    <xdr:to>
      <xdr:col>33</xdr:col>
      <xdr:colOff>111125</xdr:colOff>
      <xdr:row>13</xdr:row>
      <xdr:rowOff>127001</xdr:rowOff>
    </xdr:to>
    <xdr:sp macro="" textlink="">
      <xdr:nvSpPr>
        <xdr:cNvPr id="2" name="Textfeld 1">
          <a:extLst>
            <a:ext uri="{FF2B5EF4-FFF2-40B4-BE49-F238E27FC236}">
              <a16:creationId xmlns:a16="http://schemas.microsoft.com/office/drawing/2014/main" id="{EF12C778-F45C-5002-5151-2C3F3DF9857C}"/>
            </a:ext>
          </a:extLst>
        </xdr:cNvPr>
        <xdr:cNvSpPr txBox="1"/>
      </xdr:nvSpPr>
      <xdr:spPr>
        <a:xfrm>
          <a:off x="8048625"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rgbClr val="3C7D22"/>
              </a:solidFill>
            </a:rPr>
            <a:t>Einkommen</a:t>
          </a:r>
          <a:r>
            <a:rPr lang="de-DE" sz="1100" b="1"/>
            <a:t> Kat.</a:t>
          </a:r>
          <a:r>
            <a:rPr lang="de-DE" sz="1100" b="1" baseline="0"/>
            <a:t> (Tracked)</a:t>
          </a:r>
          <a:endParaRPr lang="de-DE" sz="1100" b="1"/>
        </a:p>
      </xdr:txBody>
    </xdr:sp>
    <xdr:clientData/>
  </xdr:twoCellAnchor>
  <xdr:twoCellAnchor editAs="oneCell">
    <xdr:from>
      <xdr:col>30</xdr:col>
      <xdr:colOff>198439</xdr:colOff>
      <xdr:row>14</xdr:row>
      <xdr:rowOff>39688</xdr:rowOff>
    </xdr:from>
    <xdr:to>
      <xdr:col>33</xdr:col>
      <xdr:colOff>134937</xdr:colOff>
      <xdr:row>23</xdr:row>
      <xdr:rowOff>150812</xdr:rowOff>
    </xdr:to>
    <xdr:graphicFrame macro="">
      <xdr:nvGraphicFramePr>
        <xdr:cNvPr id="3" name="Diagramm 2">
          <a:extLst>
            <a:ext uri="{FF2B5EF4-FFF2-40B4-BE49-F238E27FC236}">
              <a16:creationId xmlns:a16="http://schemas.microsoft.com/office/drawing/2014/main" id="{7A7E727C-9C85-4AF2-8015-53DC1B0CAF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31</xdr:col>
      <xdr:colOff>15875</xdr:colOff>
      <xdr:row>26</xdr:row>
      <xdr:rowOff>55563</xdr:rowOff>
    </xdr:from>
    <xdr:ext cx="2016125" cy="261938"/>
    <xdr:sp macro="" textlink="">
      <xdr:nvSpPr>
        <xdr:cNvPr id="4" name="Textfeld 3">
          <a:extLst>
            <a:ext uri="{FF2B5EF4-FFF2-40B4-BE49-F238E27FC236}">
              <a16:creationId xmlns:a16="http://schemas.microsoft.com/office/drawing/2014/main" id="{D00BA88A-F38F-482B-B8F2-A4E2B0044E64}"/>
            </a:ext>
          </a:extLst>
        </xdr:cNvPr>
        <xdr:cNvSpPr txBox="1"/>
      </xdr:nvSpPr>
      <xdr:spPr>
        <a:xfrm>
          <a:off x="8120063"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chemeClr val="accent2"/>
              </a:solidFill>
            </a:rPr>
            <a:t>Variablekosten</a:t>
          </a:r>
          <a:r>
            <a:rPr lang="de-DE" sz="1100" b="1"/>
            <a:t> Kat.</a:t>
          </a:r>
          <a:r>
            <a:rPr lang="de-DE" sz="1100" b="1" baseline="0"/>
            <a:t> (Tracked)</a:t>
          </a:r>
          <a:endParaRPr lang="de-DE" sz="1100" b="1"/>
        </a:p>
      </xdr:txBody>
    </xdr:sp>
    <xdr:clientData/>
  </xdr:oneCellAnchor>
  <xdr:oneCellAnchor>
    <xdr:from>
      <xdr:col>30</xdr:col>
      <xdr:colOff>198439</xdr:colOff>
      <xdr:row>28</xdr:row>
      <xdr:rowOff>39688</xdr:rowOff>
    </xdr:from>
    <xdr:ext cx="2198686" cy="1825624"/>
    <xdr:graphicFrame macro="">
      <xdr:nvGraphicFramePr>
        <xdr:cNvPr id="5" name="Diagramm 4">
          <a:extLst>
            <a:ext uri="{FF2B5EF4-FFF2-40B4-BE49-F238E27FC236}">
              <a16:creationId xmlns:a16="http://schemas.microsoft.com/office/drawing/2014/main" id="{21EFCEC7-9A53-4E66-87BC-7D846C3BE8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38</xdr:col>
      <xdr:colOff>15875</xdr:colOff>
      <xdr:row>12</xdr:row>
      <xdr:rowOff>55563</xdr:rowOff>
    </xdr:from>
    <xdr:ext cx="2016125" cy="261938"/>
    <xdr:sp macro="" textlink="">
      <xdr:nvSpPr>
        <xdr:cNvPr id="6" name="Textfeld 5">
          <a:extLst>
            <a:ext uri="{FF2B5EF4-FFF2-40B4-BE49-F238E27FC236}">
              <a16:creationId xmlns:a16="http://schemas.microsoft.com/office/drawing/2014/main" id="{B82A4DBA-7B31-4918-B79A-92EC1D66857A}"/>
            </a:ext>
          </a:extLst>
        </xdr:cNvPr>
        <xdr:cNvSpPr txBox="1"/>
      </xdr:nvSpPr>
      <xdr:spPr>
        <a:xfrm>
          <a:off x="8120063"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rgbClr val="C00000"/>
              </a:solidFill>
            </a:rPr>
            <a:t> Fixkosten</a:t>
          </a:r>
          <a:r>
            <a:rPr lang="de-DE" sz="1100" b="1" baseline="0">
              <a:solidFill>
                <a:srgbClr val="C00000"/>
              </a:solidFill>
            </a:rPr>
            <a:t> </a:t>
          </a:r>
          <a:r>
            <a:rPr lang="de-DE" sz="1100" b="1"/>
            <a:t>Kat.</a:t>
          </a:r>
          <a:r>
            <a:rPr lang="de-DE" sz="1100" b="1" baseline="0"/>
            <a:t> (Tracked)</a:t>
          </a:r>
          <a:endParaRPr lang="de-DE" sz="1100" b="1"/>
        </a:p>
      </xdr:txBody>
    </xdr:sp>
    <xdr:clientData/>
  </xdr:oneCellAnchor>
  <xdr:oneCellAnchor>
    <xdr:from>
      <xdr:col>37</xdr:col>
      <xdr:colOff>198439</xdr:colOff>
      <xdr:row>14</xdr:row>
      <xdr:rowOff>39688</xdr:rowOff>
    </xdr:from>
    <xdr:ext cx="2198686" cy="1825624"/>
    <xdr:graphicFrame macro="">
      <xdr:nvGraphicFramePr>
        <xdr:cNvPr id="7" name="Diagramm 6">
          <a:extLst>
            <a:ext uri="{FF2B5EF4-FFF2-40B4-BE49-F238E27FC236}">
              <a16:creationId xmlns:a16="http://schemas.microsoft.com/office/drawing/2014/main" id="{27349C55-8D3F-4945-9043-DFF9BBF4C8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38</xdr:col>
      <xdr:colOff>15875</xdr:colOff>
      <xdr:row>26</xdr:row>
      <xdr:rowOff>55563</xdr:rowOff>
    </xdr:from>
    <xdr:ext cx="2016125" cy="261938"/>
    <xdr:sp macro="" textlink="">
      <xdr:nvSpPr>
        <xdr:cNvPr id="8" name="Textfeld 7">
          <a:extLst>
            <a:ext uri="{FF2B5EF4-FFF2-40B4-BE49-F238E27FC236}">
              <a16:creationId xmlns:a16="http://schemas.microsoft.com/office/drawing/2014/main" id="{EEBD237A-E48E-4557-B9BB-12385736E4AC}"/>
            </a:ext>
          </a:extLst>
        </xdr:cNvPr>
        <xdr:cNvSpPr txBox="1"/>
      </xdr:nvSpPr>
      <xdr:spPr>
        <a:xfrm>
          <a:off x="8120063" y="2381251"/>
          <a:ext cx="201612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chemeClr val="accent4"/>
              </a:solidFill>
            </a:rPr>
            <a:t>Investment</a:t>
          </a:r>
          <a:r>
            <a:rPr lang="de-DE" sz="1100" b="1"/>
            <a:t> Kat.</a:t>
          </a:r>
          <a:r>
            <a:rPr lang="de-DE" sz="1100" b="1" baseline="0"/>
            <a:t> (Tracked)</a:t>
          </a:r>
          <a:endParaRPr lang="de-DE" sz="1100" b="1"/>
        </a:p>
      </xdr:txBody>
    </xdr:sp>
    <xdr:clientData/>
  </xdr:oneCellAnchor>
  <xdr:oneCellAnchor>
    <xdr:from>
      <xdr:col>37</xdr:col>
      <xdr:colOff>198439</xdr:colOff>
      <xdr:row>28</xdr:row>
      <xdr:rowOff>39688</xdr:rowOff>
    </xdr:from>
    <xdr:ext cx="2198686" cy="1825624"/>
    <xdr:graphicFrame macro="">
      <xdr:nvGraphicFramePr>
        <xdr:cNvPr id="9" name="Diagramm 8">
          <a:extLst>
            <a:ext uri="{FF2B5EF4-FFF2-40B4-BE49-F238E27FC236}">
              <a16:creationId xmlns:a16="http://schemas.microsoft.com/office/drawing/2014/main" id="{69FE2EB5-5622-4827-9EAB-151980C4F6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editAs="oneCell">
    <xdr:from>
      <xdr:col>49</xdr:col>
      <xdr:colOff>809626</xdr:colOff>
      <xdr:row>12</xdr:row>
      <xdr:rowOff>65944</xdr:rowOff>
    </xdr:from>
    <xdr:to>
      <xdr:col>51</xdr:col>
      <xdr:colOff>692395</xdr:colOff>
      <xdr:row>13</xdr:row>
      <xdr:rowOff>137382</xdr:rowOff>
    </xdr:to>
    <xdr:sp macro="" textlink="">
      <xdr:nvSpPr>
        <xdr:cNvPr id="10" name="Textfeld 9">
          <a:extLst>
            <a:ext uri="{FF2B5EF4-FFF2-40B4-BE49-F238E27FC236}">
              <a16:creationId xmlns:a16="http://schemas.microsoft.com/office/drawing/2014/main" id="{E5987CE8-9879-41C6-8D00-C330C78BEE1F}"/>
            </a:ext>
          </a:extLst>
        </xdr:cNvPr>
        <xdr:cNvSpPr txBox="1"/>
      </xdr:nvSpPr>
      <xdr:spPr>
        <a:xfrm>
          <a:off x="12041799" y="7737232"/>
          <a:ext cx="1454394"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ysClr val="windowText" lastClr="000000"/>
              </a:solidFill>
            </a:rPr>
            <a:t>Tracked (</a:t>
          </a:r>
          <a:r>
            <a:rPr lang="de-DE" sz="1100" b="1" baseline="0">
              <a:solidFill>
                <a:sysClr val="windowText" lastClr="000000"/>
              </a:solidFill>
            </a:rPr>
            <a:t> vs. Budget )</a:t>
          </a:r>
          <a:endParaRPr lang="de-DE" sz="1100" b="1">
            <a:solidFill>
              <a:sysClr val="windowText" lastClr="000000"/>
            </a:solidFill>
          </a:endParaRPr>
        </a:p>
      </xdr:txBody>
    </xdr:sp>
    <xdr:clientData/>
  </xdr:twoCellAnchor>
  <xdr:twoCellAnchor>
    <xdr:from>
      <xdr:col>45</xdr:col>
      <xdr:colOff>87922</xdr:colOff>
      <xdr:row>12</xdr:row>
      <xdr:rowOff>36635</xdr:rowOff>
    </xdr:from>
    <xdr:to>
      <xdr:col>57</xdr:col>
      <xdr:colOff>373672</xdr:colOff>
      <xdr:row>24</xdr:row>
      <xdr:rowOff>146539</xdr:rowOff>
    </xdr:to>
    <xdr:graphicFrame macro="">
      <xdr:nvGraphicFramePr>
        <xdr:cNvPr id="11" name="Diagramm 1">
          <a:extLst>
            <a:ext uri="{FF2B5EF4-FFF2-40B4-BE49-F238E27FC236}">
              <a16:creationId xmlns:a16="http://schemas.microsoft.com/office/drawing/2014/main" id="{9A5A64CA-53C5-40CC-96AD-7104D44D4A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56</xdr:col>
          <xdr:colOff>198120</xdr:colOff>
          <xdr:row>12</xdr:row>
          <xdr:rowOff>38100</xdr:rowOff>
        </xdr:from>
        <xdr:to>
          <xdr:col>57</xdr:col>
          <xdr:colOff>556260</xdr:colOff>
          <xdr:row>13</xdr:row>
          <xdr:rowOff>60960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Einkommen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13</xdr:row>
          <xdr:rowOff>60960</xdr:rowOff>
        </xdr:from>
        <xdr:to>
          <xdr:col>57</xdr:col>
          <xdr:colOff>556260</xdr:colOff>
          <xdr:row>14</xdr:row>
          <xdr:rowOff>76200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Fixkosten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14</xdr:row>
          <xdr:rowOff>83820</xdr:rowOff>
        </xdr:from>
        <xdr:to>
          <xdr:col>57</xdr:col>
          <xdr:colOff>556260</xdr:colOff>
          <xdr:row>15</xdr:row>
          <xdr:rowOff>106680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8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Variablekosten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15</xdr:row>
          <xdr:rowOff>114300</xdr:rowOff>
        </xdr:from>
        <xdr:to>
          <xdr:col>57</xdr:col>
          <xdr:colOff>556260</xdr:colOff>
          <xdr:row>16</xdr:row>
          <xdr:rowOff>137160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8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Investment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411480</xdr:colOff>
          <xdr:row>12</xdr:row>
          <xdr:rowOff>38100</xdr:rowOff>
        </xdr:from>
        <xdr:to>
          <xdr:col>56</xdr:col>
          <xdr:colOff>373380</xdr:colOff>
          <xdr:row>13</xdr:row>
          <xdr:rowOff>60960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8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Budget</a:t>
              </a:r>
            </a:p>
          </xdr:txBody>
        </xdr:sp>
        <xdr:clientData/>
      </xdr:twoCellAnchor>
    </mc:Choice>
    <mc:Fallback/>
  </mc:AlternateContent>
  <xdr:twoCellAnchor editAs="absolute">
    <xdr:from>
      <xdr:col>1</xdr:col>
      <xdr:colOff>256442</xdr:colOff>
      <xdr:row>3</xdr:row>
      <xdr:rowOff>101112</xdr:rowOff>
    </xdr:from>
    <xdr:to>
      <xdr:col>26</xdr:col>
      <xdr:colOff>256442</xdr:colOff>
      <xdr:row>8</xdr:row>
      <xdr:rowOff>142875</xdr:rowOff>
    </xdr:to>
    <xdr:grpSp>
      <xdr:nvGrpSpPr>
        <xdr:cNvPr id="20" name="Gruppieren 19">
          <a:extLst>
            <a:ext uri="{FF2B5EF4-FFF2-40B4-BE49-F238E27FC236}">
              <a16:creationId xmlns:a16="http://schemas.microsoft.com/office/drawing/2014/main" id="{1070E133-8404-D74C-07EB-713FE706B531}"/>
            </a:ext>
          </a:extLst>
        </xdr:cNvPr>
        <xdr:cNvGrpSpPr/>
      </xdr:nvGrpSpPr>
      <xdr:grpSpPr>
        <a:xfrm>
          <a:off x="561242" y="685312"/>
          <a:ext cx="2980267" cy="1006963"/>
          <a:chOff x="549519" y="710712"/>
          <a:chExt cx="2715660" cy="1038225"/>
        </a:xfrm>
      </xdr:grpSpPr>
      <xdr:grpSp>
        <xdr:nvGrpSpPr>
          <xdr:cNvPr id="13" name="Gruppieren 12">
            <a:extLst>
              <a:ext uri="{FF2B5EF4-FFF2-40B4-BE49-F238E27FC236}">
                <a16:creationId xmlns:a16="http://schemas.microsoft.com/office/drawing/2014/main" id="{C3694BED-2D6D-47E4-A928-0E658B40DF28}"/>
              </a:ext>
            </a:extLst>
          </xdr:cNvPr>
          <xdr:cNvGrpSpPr/>
        </xdr:nvGrpSpPr>
        <xdr:grpSpPr>
          <a:xfrm>
            <a:off x="549519" y="710712"/>
            <a:ext cx="2715660" cy="1038225"/>
            <a:chOff x="3533774" y="714374"/>
            <a:chExt cx="1529673" cy="1038225"/>
          </a:xfrm>
        </xdr:grpSpPr>
        <xdr:sp macro="" textlink="">
          <xdr:nvSpPr>
            <xdr:cNvPr id="16" name="Rechteck: abgerundete Ecken 15">
              <a:extLst>
                <a:ext uri="{FF2B5EF4-FFF2-40B4-BE49-F238E27FC236}">
                  <a16:creationId xmlns:a16="http://schemas.microsoft.com/office/drawing/2014/main" id="{BEC2F6D5-CC15-9FB8-558A-577FA28EF565}"/>
                </a:ext>
              </a:extLst>
            </xdr:cNvPr>
            <xdr:cNvSpPr/>
          </xdr:nvSpPr>
          <xdr:spPr>
            <a:xfrm>
              <a:off x="3533774"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5" name="Textfeld 14">
              <a:extLst>
                <a:ext uri="{FF2B5EF4-FFF2-40B4-BE49-F238E27FC236}">
                  <a16:creationId xmlns:a16="http://schemas.microsoft.com/office/drawing/2014/main" id="{C40E65DA-DE9E-9DC4-C27F-604F981F0F31}"/>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Ausgewähltes</a:t>
              </a:r>
              <a:r>
                <a:rPr lang="de-DE" sz="1600" b="1" baseline="0">
                  <a:latin typeface="Calibri" panose="020F0502020204030204" pitchFamily="34" charset="0"/>
                  <a:ea typeface="Calibri" panose="020F0502020204030204" pitchFamily="34" charset="0"/>
                  <a:cs typeface="Calibri" panose="020F0502020204030204" pitchFamily="34" charset="0"/>
                </a:rPr>
                <a:t> Jahr &amp; Periode</a:t>
              </a:r>
              <a:endParaRPr lang="de-DE" sz="1050"/>
            </a:p>
          </xdr:txBody>
        </xdr:sp>
      </xdr:grpSp>
      <xdr:sp macro="" textlink="selected_year">
        <xdr:nvSpPr>
          <xdr:cNvPr id="18" name="Rechteck: abgerundete Ecken 17">
            <a:extLst>
              <a:ext uri="{FF2B5EF4-FFF2-40B4-BE49-F238E27FC236}">
                <a16:creationId xmlns:a16="http://schemas.microsoft.com/office/drawing/2014/main" id="{3BEFFBDD-F4FE-E75D-D983-D8F3044F9C34}"/>
              </a:ext>
            </a:extLst>
          </xdr:cNvPr>
          <xdr:cNvSpPr/>
        </xdr:nvSpPr>
        <xdr:spPr>
          <a:xfrm>
            <a:off x="680404" y="1178903"/>
            <a:ext cx="813287"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B32CCB3-BF48-4CBE-BEE8-03B343112453}" type="TxLink">
              <a:rPr lang="en-US" sz="1600" b="1" i="0" u="none" strike="noStrike">
                <a:solidFill>
                  <a:srgbClr val="000000"/>
                </a:solidFill>
                <a:latin typeface="+mn-lt"/>
                <a:ea typeface="Calibri"/>
                <a:cs typeface="Calibri"/>
              </a:rPr>
              <a:pPr algn="ctr"/>
              <a:t>2026</a:t>
            </a:fld>
            <a:endParaRPr lang="de-DE" sz="1600" b="1">
              <a:latin typeface="+mn-lt"/>
            </a:endParaRPr>
          </a:p>
        </xdr:txBody>
      </xdr:sp>
      <xdr:sp macro="" textlink="selected_period_display">
        <xdr:nvSpPr>
          <xdr:cNvPr id="19" name="Rechteck: abgerundete Ecken 18">
            <a:extLst>
              <a:ext uri="{FF2B5EF4-FFF2-40B4-BE49-F238E27FC236}">
                <a16:creationId xmlns:a16="http://schemas.microsoft.com/office/drawing/2014/main" id="{26F676B8-9FD4-4289-A91E-1A709D16BFA7}"/>
              </a:ext>
            </a:extLst>
          </xdr:cNvPr>
          <xdr:cNvSpPr/>
        </xdr:nvSpPr>
        <xdr:spPr>
          <a:xfrm>
            <a:off x="1628909" y="1178903"/>
            <a:ext cx="1574396"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BD6E92E-E4BF-4007-BA20-72A542E0251B}" type="TxLink">
              <a:rPr lang="en-US" sz="1600" b="1" i="0" u="none" strike="noStrike">
                <a:solidFill>
                  <a:srgbClr val="000000"/>
                </a:solidFill>
                <a:latin typeface="+mn-lt"/>
                <a:ea typeface="Calibri"/>
                <a:cs typeface="Calibri"/>
              </a:rPr>
              <a:pPr algn="ctr"/>
              <a:t>März</a:t>
            </a:fld>
            <a:endParaRPr lang="de-DE" sz="2400" b="1">
              <a:latin typeface="+mn-lt"/>
            </a:endParaRPr>
          </a:p>
        </xdr:txBody>
      </xdr:sp>
    </xdr:grpSp>
    <xdr:clientData/>
  </xdr:twoCellAnchor>
  <xdr:twoCellAnchor editAs="absolute">
    <xdr:from>
      <xdr:col>26</xdr:col>
      <xdr:colOff>533395</xdr:colOff>
      <xdr:row>3</xdr:row>
      <xdr:rowOff>101112</xdr:rowOff>
    </xdr:from>
    <xdr:to>
      <xdr:col>27</xdr:col>
      <xdr:colOff>860130</xdr:colOff>
      <xdr:row>8</xdr:row>
      <xdr:rowOff>142875</xdr:rowOff>
    </xdr:to>
    <xdr:grpSp>
      <xdr:nvGrpSpPr>
        <xdr:cNvPr id="40" name="Gruppieren 39">
          <a:extLst>
            <a:ext uri="{FF2B5EF4-FFF2-40B4-BE49-F238E27FC236}">
              <a16:creationId xmlns:a16="http://schemas.microsoft.com/office/drawing/2014/main" id="{A6F4432A-D338-81C4-3492-1DEEA536F9C7}"/>
            </a:ext>
          </a:extLst>
        </xdr:cNvPr>
        <xdr:cNvGrpSpPr/>
      </xdr:nvGrpSpPr>
      <xdr:grpSpPr>
        <a:xfrm>
          <a:off x="3818462" y="685312"/>
          <a:ext cx="1503601" cy="1006963"/>
          <a:chOff x="3632689" y="694593"/>
          <a:chExt cx="1518139" cy="1038225"/>
        </a:xfrm>
      </xdr:grpSpPr>
      <xdr:grpSp>
        <xdr:nvGrpSpPr>
          <xdr:cNvPr id="22" name="Gruppieren 21">
            <a:extLst>
              <a:ext uri="{FF2B5EF4-FFF2-40B4-BE49-F238E27FC236}">
                <a16:creationId xmlns:a16="http://schemas.microsoft.com/office/drawing/2014/main" id="{17494DDC-1595-15DF-F2C9-8EC528FB46BB}"/>
              </a:ext>
            </a:extLst>
          </xdr:cNvPr>
          <xdr:cNvGrpSpPr/>
        </xdr:nvGrpSpPr>
        <xdr:grpSpPr>
          <a:xfrm>
            <a:off x="3632689" y="694593"/>
            <a:ext cx="1518139" cy="1038225"/>
            <a:chOff x="3533774" y="714374"/>
            <a:chExt cx="1537091" cy="1038225"/>
          </a:xfrm>
        </xdr:grpSpPr>
        <xdr:sp macro="" textlink="">
          <xdr:nvSpPr>
            <xdr:cNvPr id="25" name="Rechteck: abgerundete Ecken 24">
              <a:extLst>
                <a:ext uri="{FF2B5EF4-FFF2-40B4-BE49-F238E27FC236}">
                  <a16:creationId xmlns:a16="http://schemas.microsoft.com/office/drawing/2014/main" id="{A3699A31-5607-CF95-FF1F-563162D6DED6}"/>
                </a:ext>
              </a:extLst>
            </xdr:cNvPr>
            <xdr:cNvSpPr/>
          </xdr:nvSpPr>
          <xdr:spPr>
            <a:xfrm>
              <a:off x="3541192"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de-DE" sz="1100"/>
            </a:p>
          </xdr:txBody>
        </xdr:sp>
        <xdr:sp macro="" textlink="">
          <xdr:nvSpPr>
            <xdr:cNvPr id="26" name="Textfeld 25">
              <a:extLst>
                <a:ext uri="{FF2B5EF4-FFF2-40B4-BE49-F238E27FC236}">
                  <a16:creationId xmlns:a16="http://schemas.microsoft.com/office/drawing/2014/main" id="{7890AA15-9903-C4AE-43D9-4A32E9853A67}"/>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Compl.</a:t>
              </a:r>
              <a:endParaRPr lang="de-DE" sz="1050"/>
            </a:p>
          </xdr:txBody>
        </xdr:sp>
      </xdr:grpSp>
      <xdr:graphicFrame macro="">
        <xdr:nvGraphicFramePr>
          <xdr:cNvPr id="38" name="Diagramm 37">
            <a:extLst>
              <a:ext uri="{FF2B5EF4-FFF2-40B4-BE49-F238E27FC236}">
                <a16:creationId xmlns:a16="http://schemas.microsoft.com/office/drawing/2014/main" id="{D041714A-DF06-4277-9AA7-89E3625E4E98}"/>
              </a:ext>
            </a:extLst>
          </xdr:cNvPr>
          <xdr:cNvGraphicFramePr>
            <a:graphicFrameLocks/>
          </xdr:cNvGraphicFramePr>
        </xdr:nvGraphicFramePr>
        <xdr:xfrm>
          <a:off x="3644412" y="1018443"/>
          <a:ext cx="1502019" cy="666750"/>
        </xdr:xfrm>
        <a:graphic>
          <a:graphicData uri="http://schemas.openxmlformats.org/drawingml/2006/chart">
            <c:chart xmlns:c="http://schemas.openxmlformats.org/drawingml/2006/chart" xmlns:r="http://schemas.openxmlformats.org/officeDocument/2006/relationships" r:id="rId8"/>
          </a:graphicData>
        </a:graphic>
      </xdr:graphicFrame>
      <xdr:sp macro="" textlink="Calculations!D24">
        <xdr:nvSpPr>
          <xdr:cNvPr id="27" name="Textfeld 26">
            <a:extLst>
              <a:ext uri="{FF2B5EF4-FFF2-40B4-BE49-F238E27FC236}">
                <a16:creationId xmlns:a16="http://schemas.microsoft.com/office/drawing/2014/main" id="{723BA85C-D073-9F1F-D342-BEF2CF55F50B}"/>
              </a:ext>
            </a:extLst>
          </xdr:cNvPr>
          <xdr:cNvSpPr txBox="1"/>
        </xdr:nvSpPr>
        <xdr:spPr>
          <a:xfrm>
            <a:off x="4036402" y="1179634"/>
            <a:ext cx="718038" cy="344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43E8C6-6C17-4A7C-9AB5-B49A6C06B7A2}" type="TxLink">
              <a:rPr lang="en-US" sz="1600" b="1" i="0" u="none" strike="noStrike">
                <a:solidFill>
                  <a:srgbClr val="000000"/>
                </a:solidFill>
                <a:latin typeface="+mn-lt"/>
                <a:ea typeface="Calibri"/>
                <a:cs typeface="Calibri"/>
              </a:rPr>
              <a:pPr algn="ctr"/>
              <a:t>45%</a:t>
            </a:fld>
            <a:endParaRPr lang="de-DE" sz="1600" b="1">
              <a:latin typeface="+mn-lt"/>
            </a:endParaRPr>
          </a:p>
        </xdr:txBody>
      </xdr:sp>
    </xdr:grpSp>
    <xdr:clientData/>
  </xdr:twoCellAnchor>
  <xdr:twoCellAnchor editAs="absolute">
    <xdr:from>
      <xdr:col>28</xdr:col>
      <xdr:colOff>29302</xdr:colOff>
      <xdr:row>3</xdr:row>
      <xdr:rowOff>101112</xdr:rowOff>
    </xdr:from>
    <xdr:to>
      <xdr:col>33</xdr:col>
      <xdr:colOff>58608</xdr:colOff>
      <xdr:row>8</xdr:row>
      <xdr:rowOff>142875</xdr:rowOff>
    </xdr:to>
    <xdr:grpSp>
      <xdr:nvGrpSpPr>
        <xdr:cNvPr id="60" name="Gruppieren 59">
          <a:extLst>
            <a:ext uri="{FF2B5EF4-FFF2-40B4-BE49-F238E27FC236}">
              <a16:creationId xmlns:a16="http://schemas.microsoft.com/office/drawing/2014/main" id="{E5855435-5949-45F4-9A1D-1655A10EA891}"/>
            </a:ext>
          </a:extLst>
        </xdr:cNvPr>
        <xdr:cNvGrpSpPr/>
      </xdr:nvGrpSpPr>
      <xdr:grpSpPr>
        <a:xfrm>
          <a:off x="5668102" y="685312"/>
          <a:ext cx="4702906" cy="1006963"/>
          <a:chOff x="2381248" y="704849"/>
          <a:chExt cx="2876552" cy="1038225"/>
        </a:xfrm>
      </xdr:grpSpPr>
      <xdr:grpSp>
        <xdr:nvGrpSpPr>
          <xdr:cNvPr id="61" name="Gruppieren 60">
            <a:extLst>
              <a:ext uri="{FF2B5EF4-FFF2-40B4-BE49-F238E27FC236}">
                <a16:creationId xmlns:a16="http://schemas.microsoft.com/office/drawing/2014/main" id="{808EF3EB-7C73-E86F-2A03-2C80F374B112}"/>
              </a:ext>
            </a:extLst>
          </xdr:cNvPr>
          <xdr:cNvGrpSpPr/>
        </xdr:nvGrpSpPr>
        <xdr:grpSpPr>
          <a:xfrm>
            <a:off x="2381248" y="704849"/>
            <a:ext cx="2876552" cy="1038225"/>
            <a:chOff x="3533774" y="714374"/>
            <a:chExt cx="1617822" cy="1038225"/>
          </a:xfrm>
        </xdr:grpSpPr>
        <xdr:grpSp>
          <xdr:nvGrpSpPr>
            <xdr:cNvPr id="63" name="Gruppieren 62">
              <a:extLst>
                <a:ext uri="{FF2B5EF4-FFF2-40B4-BE49-F238E27FC236}">
                  <a16:creationId xmlns:a16="http://schemas.microsoft.com/office/drawing/2014/main" id="{18BCF0F4-0AC4-334B-8E52-F5DD941FF8E2}"/>
                </a:ext>
              </a:extLst>
            </xdr:cNvPr>
            <xdr:cNvGrpSpPr/>
          </xdr:nvGrpSpPr>
          <xdr:grpSpPr>
            <a:xfrm>
              <a:off x="3533774" y="714374"/>
              <a:ext cx="1529673" cy="1038225"/>
              <a:chOff x="1533524" y="761999"/>
              <a:chExt cx="1529673" cy="1038225"/>
            </a:xfrm>
          </xdr:grpSpPr>
          <xdr:sp macro="" textlink="">
            <xdr:nvSpPr>
              <xdr:cNvPr id="8193" name="Rechteck: abgerundete Ecken 8192">
                <a:extLst>
                  <a:ext uri="{FF2B5EF4-FFF2-40B4-BE49-F238E27FC236}">
                    <a16:creationId xmlns:a16="http://schemas.microsoft.com/office/drawing/2014/main" id="{4F58EB97-7289-D3A9-0F74-11508EB22730}"/>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5">
            <xdr:nvSpPr>
              <xdr:cNvPr id="8200" name="Textfeld 8199">
                <a:extLst>
                  <a:ext uri="{FF2B5EF4-FFF2-40B4-BE49-F238E27FC236}">
                    <a16:creationId xmlns:a16="http://schemas.microsoft.com/office/drawing/2014/main" id="{D8D46220-0DCF-9F33-E7DC-B7A6909D0836}"/>
                  </a:ext>
                </a:extLst>
              </xdr:cNvPr>
              <xdr:cNvSpPr txBox="1"/>
            </xdr:nvSpPr>
            <xdr:spPr>
              <a:xfrm>
                <a:off x="1557366" y="1200149"/>
                <a:ext cx="296621"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EEDE162-DC78-4299-A2F8-B5E7E168208A}" type="TxLink">
                  <a:rPr lang="en-US" sz="1600" b="1" i="0" u="none" strike="noStrike">
                    <a:solidFill>
                      <a:srgbClr val="000000"/>
                    </a:solidFill>
                    <a:latin typeface="Calibri"/>
                    <a:ea typeface="Calibri"/>
                    <a:cs typeface="Calibri"/>
                  </a:rPr>
                  <a:pPr/>
                  <a:t> -   € </a:t>
                </a:fld>
                <a:endParaRPr lang="de-DE" sz="6000" b="1"/>
              </a:p>
            </xdr:txBody>
          </xdr:sp>
        </xdr:grpSp>
        <xdr:sp macro="" textlink="">
          <xdr:nvSpPr>
            <xdr:cNvPr id="8192" name="Textfeld 8191">
              <a:extLst>
                <a:ext uri="{FF2B5EF4-FFF2-40B4-BE49-F238E27FC236}">
                  <a16:creationId xmlns:a16="http://schemas.microsoft.com/office/drawing/2014/main" id="{8145C5F1-27A0-5944-9D9C-57206DE81EBB}"/>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Tracking Bilanz</a:t>
              </a:r>
              <a:endParaRPr lang="de-DE" sz="1050"/>
            </a:p>
          </xdr:txBody>
        </xdr:sp>
      </xdr:grpSp>
      <xdr:sp macro="" textlink="Calculations!D26">
        <xdr:nvSpPr>
          <xdr:cNvPr id="62" name="Textfeld 61">
            <a:extLst>
              <a:ext uri="{FF2B5EF4-FFF2-40B4-BE49-F238E27FC236}">
                <a16:creationId xmlns:a16="http://schemas.microsoft.com/office/drawing/2014/main" id="{BF4691B5-8832-42B1-2D12-CB7F056FE10C}"/>
              </a:ext>
            </a:extLst>
          </xdr:cNvPr>
          <xdr:cNvSpPr txBox="1"/>
        </xdr:nvSpPr>
        <xdr:spPr>
          <a:xfrm>
            <a:off x="2895902" y="1142999"/>
            <a:ext cx="213635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DBF5221-8AB6-4ABE-95A5-377EFD047EEE}" type="TxLink">
              <a:rPr lang="en-US" sz="1600" b="1" i="0" u="none" strike="noStrike">
                <a:solidFill>
                  <a:srgbClr val="000000"/>
                </a:solidFill>
                <a:latin typeface="Calibri"/>
                <a:ea typeface="Calibri"/>
                <a:cs typeface="Calibri"/>
              </a:rPr>
              <a:pPr algn="r"/>
              <a:t> of tracked income left to be allocated</a:t>
            </a:fld>
            <a:endParaRPr lang="de-DE" sz="8800" b="1"/>
          </a:p>
        </xdr:txBody>
      </xdr:sp>
    </xdr:grpSp>
    <xdr:clientData/>
  </xdr:twoCellAnchor>
  <xdr:twoCellAnchor editAs="absolute">
    <xdr:from>
      <xdr:col>32</xdr:col>
      <xdr:colOff>870433</xdr:colOff>
      <xdr:row>3</xdr:row>
      <xdr:rowOff>101112</xdr:rowOff>
    </xdr:from>
    <xdr:to>
      <xdr:col>39</xdr:col>
      <xdr:colOff>446937</xdr:colOff>
      <xdr:row>8</xdr:row>
      <xdr:rowOff>142875</xdr:rowOff>
    </xdr:to>
    <xdr:grpSp>
      <xdr:nvGrpSpPr>
        <xdr:cNvPr id="8210" name="Gruppieren 8209">
          <a:extLst>
            <a:ext uri="{FF2B5EF4-FFF2-40B4-BE49-F238E27FC236}">
              <a16:creationId xmlns:a16="http://schemas.microsoft.com/office/drawing/2014/main" id="{3EB57755-67CA-CF9A-819E-17C4BC011D11}"/>
            </a:ext>
          </a:extLst>
        </xdr:cNvPr>
        <xdr:cNvGrpSpPr/>
      </xdr:nvGrpSpPr>
      <xdr:grpSpPr>
        <a:xfrm>
          <a:off x="10285366" y="685312"/>
          <a:ext cx="4529504" cy="1006963"/>
          <a:chOff x="9845919" y="672612"/>
          <a:chExt cx="4550019" cy="1038225"/>
        </a:xfrm>
      </xdr:grpSpPr>
      <xdr:sp macro="" textlink="">
        <xdr:nvSpPr>
          <xdr:cNvPr id="8206" name="Rechteck: abgerundete Ecken 8205">
            <a:extLst>
              <a:ext uri="{FF2B5EF4-FFF2-40B4-BE49-F238E27FC236}">
                <a16:creationId xmlns:a16="http://schemas.microsoft.com/office/drawing/2014/main" id="{F0964CA5-B42E-71A8-B54B-2268C269B6C4}"/>
              </a:ext>
            </a:extLst>
          </xdr:cNvPr>
          <xdr:cNvSpPr/>
        </xdr:nvSpPr>
        <xdr:spPr>
          <a:xfrm>
            <a:off x="9845919" y="672612"/>
            <a:ext cx="4302106"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7">
        <xdr:nvSpPr>
          <xdr:cNvPr id="8207" name="Textfeld 8206">
            <a:extLst>
              <a:ext uri="{FF2B5EF4-FFF2-40B4-BE49-F238E27FC236}">
                <a16:creationId xmlns:a16="http://schemas.microsoft.com/office/drawing/2014/main" id="{05647655-93C7-528D-FB68-FA81DE16C365}"/>
              </a:ext>
            </a:extLst>
          </xdr:cNvPr>
          <xdr:cNvSpPr txBox="1"/>
        </xdr:nvSpPr>
        <xdr:spPr>
          <a:xfrm>
            <a:off x="10940190" y="1137139"/>
            <a:ext cx="68577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306F882-664D-43BB-865D-2B62460ECACE}" type="TxLink">
              <a:rPr lang="en-US" sz="1600" b="1" i="0" u="none" strike="noStrike">
                <a:solidFill>
                  <a:schemeClr val="accent4"/>
                </a:solidFill>
                <a:latin typeface="Calibri"/>
                <a:ea typeface="Calibri"/>
                <a:cs typeface="Calibri"/>
              </a:rPr>
              <a:pPr/>
              <a:t>-</a:t>
            </a:fld>
            <a:endParaRPr lang="de-DE" sz="8000" b="1">
              <a:solidFill>
                <a:schemeClr val="accent4"/>
              </a:solidFill>
            </a:endParaRPr>
          </a:p>
        </xdr:txBody>
      </xdr:sp>
      <xdr:sp macro="" textlink="">
        <xdr:nvSpPr>
          <xdr:cNvPr id="8205" name="Textfeld 8204">
            <a:extLst>
              <a:ext uri="{FF2B5EF4-FFF2-40B4-BE49-F238E27FC236}">
                <a16:creationId xmlns:a16="http://schemas.microsoft.com/office/drawing/2014/main" id="{03794673-3D92-9840-9BE2-314E018DB58B}"/>
              </a:ext>
            </a:extLst>
          </xdr:cNvPr>
          <xdr:cNvSpPr txBox="1"/>
        </xdr:nvSpPr>
        <xdr:spPr>
          <a:xfrm>
            <a:off x="9845919" y="758337"/>
            <a:ext cx="4550019"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Monatliche Sparrate</a:t>
            </a:r>
            <a:endParaRPr lang="de-DE" sz="1050"/>
          </a:p>
        </xdr:txBody>
      </xdr:sp>
      <xdr:sp macro="" textlink="">
        <xdr:nvSpPr>
          <xdr:cNvPr id="8203" name="Textfeld 8202">
            <a:extLst>
              <a:ext uri="{FF2B5EF4-FFF2-40B4-BE49-F238E27FC236}">
                <a16:creationId xmlns:a16="http://schemas.microsoft.com/office/drawing/2014/main" id="{E4126E6B-3943-3258-FB06-EDF0DB9F18AF}"/>
              </a:ext>
            </a:extLst>
          </xdr:cNvPr>
          <xdr:cNvSpPr txBox="1"/>
        </xdr:nvSpPr>
        <xdr:spPr>
          <a:xfrm>
            <a:off x="11557219" y="1137139"/>
            <a:ext cx="247544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von</a:t>
            </a:r>
            <a:r>
              <a:rPr lang="en-US" sz="1600" b="1" i="0" u="none" strike="noStrike" baseline="0">
                <a:solidFill>
                  <a:srgbClr val="000000"/>
                </a:solidFill>
                <a:latin typeface="+mn-lt"/>
                <a:ea typeface="Calibri"/>
                <a:cs typeface="Calibri"/>
              </a:rPr>
              <a:t> deinem Einkommen.</a:t>
            </a:r>
            <a:endParaRPr lang="en-US" sz="1600" b="1" i="0" u="none" strike="noStrike">
              <a:solidFill>
                <a:srgbClr val="000000"/>
              </a:solidFill>
              <a:latin typeface="+mn-lt"/>
              <a:ea typeface="Calibri"/>
              <a:cs typeface="Calibri"/>
            </a:endParaRPr>
          </a:p>
        </xdr:txBody>
      </xdr:sp>
      <xdr:sp macro="" textlink="">
        <xdr:nvSpPr>
          <xdr:cNvPr id="8208" name="Textfeld 8207">
            <a:extLst>
              <a:ext uri="{FF2B5EF4-FFF2-40B4-BE49-F238E27FC236}">
                <a16:creationId xmlns:a16="http://schemas.microsoft.com/office/drawing/2014/main" id="{A90231FA-C152-480D-86EE-9FF4AC35A284}"/>
              </a:ext>
            </a:extLst>
          </xdr:cNvPr>
          <xdr:cNvSpPr txBox="1"/>
        </xdr:nvSpPr>
        <xdr:spPr>
          <a:xfrm>
            <a:off x="9911862" y="1137139"/>
            <a:ext cx="10329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Du sparst</a:t>
            </a:r>
          </a:p>
        </xdr:txBody>
      </xdr:sp>
    </xdr:grpSp>
    <xdr:clientData/>
  </xdr:twoCellAnchor>
  <xdr:twoCellAnchor>
    <xdr:from>
      <xdr:col>45</xdr:col>
      <xdr:colOff>58615</xdr:colOff>
      <xdr:row>26</xdr:row>
      <xdr:rowOff>36636</xdr:rowOff>
    </xdr:from>
    <xdr:to>
      <xdr:col>57</xdr:col>
      <xdr:colOff>395653</xdr:colOff>
      <xdr:row>38</xdr:row>
      <xdr:rowOff>146539</xdr:rowOff>
    </xdr:to>
    <xdr:graphicFrame macro="">
      <xdr:nvGraphicFramePr>
        <xdr:cNvPr id="8218" name="Diagramm 8217">
          <a:extLst>
            <a:ext uri="{FF2B5EF4-FFF2-40B4-BE49-F238E27FC236}">
              <a16:creationId xmlns:a16="http://schemas.microsoft.com/office/drawing/2014/main" id="{029FC965-264E-494F-BD50-FECDEDE1E9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49</xdr:col>
      <xdr:colOff>809626</xdr:colOff>
      <xdr:row>26</xdr:row>
      <xdr:rowOff>65944</xdr:rowOff>
    </xdr:from>
    <xdr:ext cx="1454394" cy="261938"/>
    <xdr:sp macro="" textlink="">
      <xdr:nvSpPr>
        <xdr:cNvPr id="8211" name="Textfeld 8210">
          <a:extLst>
            <a:ext uri="{FF2B5EF4-FFF2-40B4-BE49-F238E27FC236}">
              <a16:creationId xmlns:a16="http://schemas.microsoft.com/office/drawing/2014/main" id="{8A6820A0-FA28-4215-97E4-4C9FD4C9BF78}"/>
            </a:ext>
          </a:extLst>
        </xdr:cNvPr>
        <xdr:cNvSpPr txBox="1"/>
      </xdr:nvSpPr>
      <xdr:spPr>
        <a:xfrm>
          <a:off x="12041799" y="7737232"/>
          <a:ext cx="1454394"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solidFill>
                <a:sysClr val="windowText" lastClr="000000"/>
              </a:solidFill>
            </a:rPr>
            <a:t>Yearly Development</a:t>
          </a:r>
        </a:p>
        <a:p>
          <a:endParaRPr lang="de-DE" sz="1100" b="1">
            <a:solidFill>
              <a:sysClr val="windowText" lastClr="000000"/>
            </a:solidFill>
          </a:endParaRPr>
        </a:p>
      </xdr:txBody>
    </xdr:sp>
    <xdr:clientData/>
  </xdr:oneCellAnchor>
  <xdr:twoCellAnchor>
    <xdr:from>
      <xdr:col>59</xdr:col>
      <xdr:colOff>131886</xdr:colOff>
      <xdr:row>12</xdr:row>
      <xdr:rowOff>102576</xdr:rowOff>
    </xdr:from>
    <xdr:to>
      <xdr:col>64</xdr:col>
      <xdr:colOff>740020</xdr:colOff>
      <xdr:row>24</xdr:row>
      <xdr:rowOff>95249</xdr:rowOff>
    </xdr:to>
    <xdr:graphicFrame macro="">
      <xdr:nvGraphicFramePr>
        <xdr:cNvPr id="17" name="Diagramm 16">
          <a:extLst>
            <a:ext uri="{FF2B5EF4-FFF2-40B4-BE49-F238E27FC236}">
              <a16:creationId xmlns:a16="http://schemas.microsoft.com/office/drawing/2014/main" id="{04D6AD1E-3880-48A9-B396-DCCC68564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67</xdr:col>
      <xdr:colOff>120672</xdr:colOff>
      <xdr:row>12</xdr:row>
      <xdr:rowOff>26760</xdr:rowOff>
    </xdr:from>
    <xdr:to>
      <xdr:col>69</xdr:col>
      <xdr:colOff>379</xdr:colOff>
      <xdr:row>22</xdr:row>
      <xdr:rowOff>173299</xdr:rowOff>
    </xdr:to>
    <mc:AlternateContent xmlns:mc="http://schemas.openxmlformats.org/markup-compatibility/2006" xmlns:a14="http://schemas.microsoft.com/office/drawing/2010/main">
      <mc:Choice Requires="a14">
        <xdr:graphicFrame macro="">
          <xdr:nvGraphicFramePr>
            <xdr:cNvPr id="21" name="Type 1">
              <a:extLst>
                <a:ext uri="{FF2B5EF4-FFF2-40B4-BE49-F238E27FC236}">
                  <a16:creationId xmlns:a16="http://schemas.microsoft.com/office/drawing/2014/main" id="{502F5F83-A8F8-4550-9080-B4C73ADED819}"/>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34645134" y="2364048"/>
              <a:ext cx="1377461" cy="205153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595312</xdr:colOff>
      <xdr:row>0</xdr:row>
      <xdr:rowOff>0</xdr:rowOff>
    </xdr:from>
    <xdr:to>
      <xdr:col>3</xdr:col>
      <xdr:colOff>395287</xdr:colOff>
      <xdr:row>2</xdr:row>
      <xdr:rowOff>180975</xdr:rowOff>
    </xdr:to>
    <xdr:pic macro="[0]!Home_Navigation">
      <xdr:nvPicPr>
        <xdr:cNvPr id="26" name="Grafik 25" descr="Start mit einfarbiger Füllung">
          <a:extLst>
            <a:ext uri="{FF2B5EF4-FFF2-40B4-BE49-F238E27FC236}">
              <a16:creationId xmlns:a16="http://schemas.microsoft.com/office/drawing/2014/main" id="{FF730B8F-1636-4848-B9FB-53C367FBBF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119312" y="0"/>
          <a:ext cx="561975" cy="5619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79375</xdr:colOff>
      <xdr:row>0</xdr:row>
      <xdr:rowOff>0</xdr:rowOff>
    </xdr:from>
    <xdr:to>
      <xdr:col>3</xdr:col>
      <xdr:colOff>641350</xdr:colOff>
      <xdr:row>2</xdr:row>
      <xdr:rowOff>180975</xdr:rowOff>
    </xdr:to>
    <xdr:pic macro="[0]!Home_Navigation">
      <xdr:nvPicPr>
        <xdr:cNvPr id="2" name="Grafik 1" descr="Start mit einfarbiger Füllung">
          <a:extLst>
            <a:ext uri="{FF2B5EF4-FFF2-40B4-BE49-F238E27FC236}">
              <a16:creationId xmlns:a16="http://schemas.microsoft.com/office/drawing/2014/main" id="{D196BB7B-98DE-4A60-AA9B-03E6BF92DA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31925" y="0"/>
          <a:ext cx="561975" cy="5619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374650</xdr:colOff>
      <xdr:row>0</xdr:row>
      <xdr:rowOff>0</xdr:rowOff>
    </xdr:from>
    <xdr:to>
      <xdr:col>4</xdr:col>
      <xdr:colOff>174625</xdr:colOff>
      <xdr:row>2</xdr:row>
      <xdr:rowOff>180975</xdr:rowOff>
    </xdr:to>
    <xdr:pic macro="[0]!Home_Navigation">
      <xdr:nvPicPr>
        <xdr:cNvPr id="2" name="Grafik 1" descr="Start mit einfarbiger Füllung">
          <a:extLst>
            <a:ext uri="{FF2B5EF4-FFF2-40B4-BE49-F238E27FC236}">
              <a16:creationId xmlns:a16="http://schemas.microsoft.com/office/drawing/2014/main" id="{12F52F24-FF6B-46E5-B3B8-D88C90684E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60650" y="0"/>
          <a:ext cx="561975" cy="5619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xdr:col>
      <xdr:colOff>79375</xdr:colOff>
      <xdr:row>0</xdr:row>
      <xdr:rowOff>0</xdr:rowOff>
    </xdr:from>
    <xdr:to>
      <xdr:col>3</xdr:col>
      <xdr:colOff>641350</xdr:colOff>
      <xdr:row>2</xdr:row>
      <xdr:rowOff>180975</xdr:rowOff>
    </xdr:to>
    <xdr:pic macro="[0]!Home_Navigation">
      <xdr:nvPicPr>
        <xdr:cNvPr id="2" name="Grafik 1" descr="Start mit einfarbiger Füllung">
          <a:extLst>
            <a:ext uri="{FF2B5EF4-FFF2-40B4-BE49-F238E27FC236}">
              <a16:creationId xmlns:a16="http://schemas.microsoft.com/office/drawing/2014/main" id="{3586CAF0-EE7F-4FBA-952C-48C35C9BB7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31925" y="0"/>
          <a:ext cx="561975" cy="56197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79375</xdr:colOff>
      <xdr:row>0</xdr:row>
      <xdr:rowOff>0</xdr:rowOff>
    </xdr:from>
    <xdr:to>
      <xdr:col>3</xdr:col>
      <xdr:colOff>641350</xdr:colOff>
      <xdr:row>2</xdr:row>
      <xdr:rowOff>180975</xdr:rowOff>
    </xdr:to>
    <xdr:pic macro="[0]!Home_Navigation">
      <xdr:nvPicPr>
        <xdr:cNvPr id="26" name="Grafik 25" descr="Start mit einfarbiger Füllung">
          <a:extLst>
            <a:ext uri="{FF2B5EF4-FFF2-40B4-BE49-F238E27FC236}">
              <a16:creationId xmlns:a16="http://schemas.microsoft.com/office/drawing/2014/main" id="{82B9D943-7D15-47AB-A43A-1A7733FEFE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28750" y="0"/>
          <a:ext cx="561975" cy="56197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212725</xdr:colOff>
      <xdr:row>0</xdr:row>
      <xdr:rowOff>0</xdr:rowOff>
    </xdr:from>
    <xdr:to>
      <xdr:col>3</xdr:col>
      <xdr:colOff>12700</xdr:colOff>
      <xdr:row>2</xdr:row>
      <xdr:rowOff>180975</xdr:rowOff>
    </xdr:to>
    <xdr:pic macro="[0]!Home_Navigation">
      <xdr:nvPicPr>
        <xdr:cNvPr id="2" name="Grafik 1" descr="Start mit einfarbiger Füllung">
          <a:extLst>
            <a:ext uri="{FF2B5EF4-FFF2-40B4-BE49-F238E27FC236}">
              <a16:creationId xmlns:a16="http://schemas.microsoft.com/office/drawing/2014/main" id="{863B303F-E31E-4624-A3CA-653F21FF10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36725" y="0"/>
          <a:ext cx="561975" cy="5619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26820c6fc15da3a6/Dokumente/Finanzen/Finanzen.xlsx" TargetMode="External"/><Relationship Id="rId1" Type="http://schemas.openxmlformats.org/officeDocument/2006/relationships/externalLinkPath" Target="https://d.docs.live.net/26820c6fc15da3a6/Dokumente/Finanzen/Finanze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Dropdown Data"/>
      <sheetName val="Calculations"/>
      <sheetName val="Settings"/>
      <sheetName val="Budget Tracking"/>
      <sheetName val="Budget Planning"/>
      <sheetName val="Budget Dashboard"/>
      <sheetName val="Finanzen"/>
    </sheetNames>
    <sheetDataSet>
      <sheetData sheetId="0"/>
      <sheetData sheetId="1" refreshError="1"/>
      <sheetData sheetId="2" refreshError="1"/>
      <sheetData sheetId="3"/>
      <sheetData sheetId="4" refreshError="1"/>
      <sheetData sheetId="5">
        <row r="20">
          <cell r="C20" t="str">
            <v>Total</v>
          </cell>
        </row>
        <row r="31">
          <cell r="C31" t="str">
            <v>Total</v>
          </cell>
        </row>
        <row r="52">
          <cell r="C52" t="str">
            <v>Total</v>
          </cell>
        </row>
      </sheetData>
      <sheetData sheetId="6" refreshError="1"/>
      <sheetData sheetId="7"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vin Siess" refreshedDate="46095.733702430553" createdVersion="8" refreshedVersion="8" minRefreshableVersion="3" recordCount="1" xr:uid="{31EB4ADF-4CF5-4ABD-9BBF-08B20EED3831}">
  <cacheSource type="worksheet">
    <worksheetSource name="Tracking"/>
  </cacheSource>
  <cacheFields count="9">
    <cacheField name="Datum" numFmtId="166">
      <sharedItems containsNonDate="0" containsString="0" containsBlank="1"/>
    </cacheField>
    <cacheField name="Type" numFmtId="0">
      <sharedItems containsNonDate="0" containsBlank="1" count="7">
        <m/>
        <s v="System-Abgleich" u="1"/>
        <s v="Variablekosten" u="1"/>
        <s v="Einkommen" u="1"/>
        <s v="Fixkosten" u="1"/>
        <s v="Investment" u="1"/>
        <s v="Einnahme" u="1"/>
      </sharedItems>
    </cacheField>
    <cacheField name="Kategorie" numFmtId="0">
      <sharedItems containsNonDate="0" containsString="0" containsBlank="1"/>
    </cacheField>
    <cacheField name="Subkategorie" numFmtId="0">
      <sharedItems containsNonDate="0" containsBlank="1" count="8">
        <m/>
        <s v="Warhammer" u="1"/>
        <s v="Auto" u="1"/>
        <s v="Ebay" u="1"/>
        <s v="Hauptjob" u="1"/>
        <s v="Gaming" u="1"/>
        <s v="Motorrad" u="1"/>
        <s v="Test" u="1"/>
      </sharedItems>
    </cacheField>
    <cacheField name="Betrag" numFmtId="167">
      <sharedItems containsNonDate="0" containsString="0" containsBlank="1"/>
    </cacheField>
    <cacheField name="Empfänger" numFmtId="167">
      <sharedItems containsNonDate="0" containsString="0" containsBlank="1"/>
    </cacheField>
    <cacheField name="Details" numFmtId="0">
      <sharedItems containsNonDate="0" containsString="0" containsBlank="1"/>
    </cacheField>
    <cacheField name="Bilanz" numFmtId="167">
      <sharedItems/>
    </cacheField>
    <cacheField name="Effektiv Datum" numFmtId="1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17594666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x v="0"/>
    <m/>
    <x v="0"/>
    <m/>
    <m/>
    <m/>
    <e v="#VALUE!"/>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0D2BC9-B514-445C-9CF8-25C7632A8018}" name="PivotTable1"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7">
  <location ref="AA54:AB55" firstHeaderRow="1" firstDataRow="1" firstDataCol="1" rowPageCount="1" colPageCount="1"/>
  <pivotFields count="9">
    <pivotField numFmtId="166" showAll="0"/>
    <pivotField axis="axisPage" showAll="0">
      <items count="8">
        <item m="1" x="3"/>
        <item m="1" x="4"/>
        <item m="1" x="5"/>
        <item m="1" x="1"/>
        <item m="1" x="2"/>
        <item m="1" x="6"/>
        <item x="0"/>
        <item t="default"/>
      </items>
    </pivotField>
    <pivotField showAll="0"/>
    <pivotField axis="axisRow" showAll="0">
      <items count="9">
        <item m="1" x="3"/>
        <item m="1" x="1"/>
        <item x="0"/>
        <item m="1" x="5"/>
        <item m="1" x="6"/>
        <item m="1" x="7"/>
        <item m="1" x="2"/>
        <item m="1" x="4"/>
        <item t="default"/>
      </items>
    </pivotField>
    <pivotField dataField="1" showAll="0"/>
    <pivotField showAll="0"/>
    <pivotField showAll="0"/>
    <pivotField numFmtId="167" showAll="0"/>
    <pivotField numFmtId="15" showAll="0"/>
  </pivotFields>
  <rowFields count="1">
    <field x="3"/>
  </rowFields>
  <rowItems count="1">
    <i t="grand">
      <x/>
    </i>
  </rowItems>
  <colItems count="1">
    <i/>
  </colItems>
  <pageFields count="1">
    <pageField fld="1" hier="-1"/>
  </pageFields>
  <dataFields count="1">
    <dataField name="Summe von Betrag" fld="4" baseField="0" baseItem="0"/>
  </dataFields>
  <chartFormats count="6">
    <chartFormat chart="4" format="3"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3" count="1" selected="0">
            <x v="0"/>
          </reference>
        </references>
      </pivotArea>
    </chartFormat>
    <chartFormat chart="4" format="5">
      <pivotArea type="data" outline="0" fieldPosition="0">
        <references count="2">
          <reference field="4294967294" count="1" selected="0">
            <x v="0"/>
          </reference>
          <reference field="3" count="1" selected="0">
            <x v="1"/>
          </reference>
        </references>
      </pivotArea>
    </chartFormat>
    <chartFormat chart="4" format="6">
      <pivotArea type="data" outline="0" fieldPosition="0">
        <references count="2">
          <reference field="4294967294" count="1" selected="0">
            <x v="0"/>
          </reference>
          <reference field="3" count="1" selected="0">
            <x v="3"/>
          </reference>
        </references>
      </pivotArea>
    </chartFormat>
    <chartFormat chart="4" format="7">
      <pivotArea type="data" outline="0" fieldPosition="0">
        <references count="2">
          <reference field="4294967294" count="1" selected="0">
            <x v="0"/>
          </reference>
          <reference field="3" count="1" selected="0">
            <x v="4"/>
          </reference>
        </references>
      </pivotArea>
    </chartFormat>
    <chartFormat chart="4" format="8">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aptionNotContains" evalOrder="-1" id="4" stringValue1="(Leer)">
      <autoFilter ref="A1">
        <filterColumn colId="0">
          <customFilters>
            <customFilter operator="notEqual" val="*(Leer)*"/>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ype1" xr10:uid="{52357BEB-F466-4F8B-B07D-13006E2A2D06}" sourceName="Type">
  <pivotTables>
    <pivotTable tabId="11" name="PivotTable1"/>
  </pivotTables>
  <data>
    <tabular pivotCacheId="1759466659">
      <items count="7">
        <i x="3" s="1" nd="1"/>
        <i x="6" s="1" nd="1"/>
        <i x="4" s="1" nd="1"/>
        <i x="5" s="1" nd="1"/>
        <i x="1" s="1" nd="1"/>
        <i x="2"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C521489D-F081-4B3A-A2B7-F2D0946842F7}" cache="Datenschnitt_Type1" caption="Type" showCaption="0" style="SlicerStyleOther1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8589939-D396-4B3E-922A-7A360F295892}" name="Einkommen_sub" displayName="Einkommen_sub" ref="I6:I7" totalsRowShown="0" headerRowDxfId="73" dataDxfId="72">
  <autoFilter ref="I6:I7" xr:uid="{28589939-D396-4B3E-922A-7A360F295892}">
    <filterColumn colId="0" hiddenButton="1"/>
  </autoFilter>
  <tableColumns count="1">
    <tableColumn id="1" xr3:uid="{24A6E379-529B-4B68-8C23-DBB6B2A60463}" name="Einkommen" dataDxfId="71"/>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6402ECC-7193-4943-866A-B489BD93B0A8}" name="Fixkosten_sub" displayName="Fixkosten_sub" ref="J6:J7" insertRow="1" totalsRowShown="0" headerRowDxfId="70" dataDxfId="69">
  <autoFilter ref="J6:J7" xr:uid="{36402ECC-7193-4943-866A-B489BD93B0A8}">
    <filterColumn colId="0" hiddenButton="1"/>
  </autoFilter>
  <tableColumns count="1">
    <tableColumn id="1" xr3:uid="{7278E088-BDA3-49BF-ABF2-ADFE93E1776C}" name="Fixkosten" dataDxfId="68"/>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4FB4C9A-C4E1-455D-8A79-1F32EF50E1BE}" name="Variablekosten_sub" displayName="Variablekosten_sub" ref="K6:K7" totalsRowShown="0" headerRowDxfId="67" dataDxfId="66">
  <autoFilter ref="K6:K7" xr:uid="{F4FB4C9A-C4E1-455D-8A79-1F32EF50E1BE}">
    <filterColumn colId="0" hiddenButton="1"/>
  </autoFilter>
  <tableColumns count="1">
    <tableColumn id="1" xr3:uid="{91624584-05D1-40C9-8BD8-E4A39F53B5DC}" name="Variablekosten" dataDxfId="65"/>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C092A1D-C319-4363-A338-B8B189EC7CCD}" name="Investment_sub" displayName="Investment_sub" ref="L6:L7" insertRow="1" totalsRowShown="0" headerRowDxfId="64" dataDxfId="63">
  <autoFilter ref="L6:L7" xr:uid="{0C092A1D-C319-4363-A338-B8B189EC7CCD}">
    <filterColumn colId="0" hiddenButton="1"/>
  </autoFilter>
  <tableColumns count="1">
    <tableColumn id="1" xr3:uid="{DC0C9082-8237-4E9D-9FAE-E8BE3F4ABBED}" name="Investment" dataDxfId="62"/>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B1DF29-A2E8-4C49-8ED5-45F4C28A2E44}" name="Einkommen" displayName="Einkommen" ref="C9:C12" totalsRowShown="0" headerRowDxfId="85" dataDxfId="84">
  <autoFilter ref="C9:C12" xr:uid="{5AB1DF29-A2E8-4C49-8ED5-45F4C28A2E44}">
    <filterColumn colId="0" hiddenButton="1"/>
  </autoFilter>
  <tableColumns count="1">
    <tableColumn id="1" xr3:uid="{30F9A486-A4C1-4E27-A41D-79E26D79DA88}" name="Einkommen" dataDxfId="83"/>
  </tableColumns>
  <tableStyleInfo name="Einkommenstabelle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FCB3AC5-6779-429A-96F9-4069A3A68F61}" name="Fixkosten" displayName="Fixkosten" ref="C22:C26" totalsRowShown="0" headerRowDxfId="82" dataDxfId="81">
  <autoFilter ref="C22:C26" xr:uid="{6FCB3AC5-6779-429A-96F9-4069A3A68F61}">
    <filterColumn colId="0" hiddenButton="1"/>
  </autoFilter>
  <tableColumns count="1">
    <tableColumn id="1" xr3:uid="{1DB56BB4-74BE-408B-919C-505A3DF2FCA8}" name="Fixkosten" dataDxfId="80"/>
  </tableColumns>
  <tableStyleInfo name="Fixkostentabelle Style "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495655-A0E6-46DD-A330-70BCE4F5D34B}" name="Variablekosten" displayName="Variablekosten" ref="C35:C40" totalsRowShown="0" headerRowDxfId="79" dataDxfId="78">
  <autoFilter ref="C35:C40" xr:uid="{2C495655-A0E6-46DD-A330-70BCE4F5D34B}">
    <filterColumn colId="0" hiddenButton="1"/>
  </autoFilter>
  <tableColumns count="1">
    <tableColumn id="1" xr3:uid="{346CF5E7-6ABA-48FA-923E-1B3334821582}" name="Variablekosten" dataDxfId="77"/>
  </tableColumns>
  <tableStyleInfo name="Variablekostentabelle Style "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6B6BD4-8397-4353-8BBF-BEE46A9A8535}" name="Investment" displayName="Investment" ref="C48:C51" totalsRowShown="0" headerRowDxfId="76" dataDxfId="75">
  <autoFilter ref="C48:C51" xr:uid="{8B6B6BD4-8397-4353-8BBF-BEE46A9A8535}">
    <filterColumn colId="0" hiddenButton="1"/>
  </autoFilter>
  <tableColumns count="1">
    <tableColumn id="1" xr3:uid="{8508A1D0-CA1D-4687-8909-69FB58AD83BB}" name="Investment" dataDxfId="74"/>
  </tableColumns>
  <tableStyleInfo name="Investmenttabelle Style  "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489526D-537A-4462-8B3C-510C11F88770}" name="Tracking" displayName="Tracking" ref="C11:K12" totalsRowShown="0" headerRowDxfId="61" dataDxfId="60">
  <autoFilter ref="C11:K12" xr:uid="{F489526D-537A-4462-8B3C-510C11F88770}"/>
  <sortState xmlns:xlrd2="http://schemas.microsoft.com/office/spreadsheetml/2017/richdata2" ref="C12:K12">
    <sortCondition ref="C11:C12"/>
  </sortState>
  <tableColumns count="9">
    <tableColumn id="1" xr3:uid="{FA6B9819-141F-4EB2-AE76-5D5F55AA7105}" name="Datum" dataDxfId="59"/>
    <tableColumn id="2" xr3:uid="{02A507A4-C73D-4AC5-A9B6-C6DE2FB18691}" name="Type" dataDxfId="58"/>
    <tableColumn id="3" xr3:uid="{9994838C-F83A-4C22-AD29-CE45D0CC4782}" name="Kategorie" dataDxfId="57"/>
    <tableColumn id="6" xr3:uid="{036E1E17-BEB7-4E6B-98D5-46F8658B08B6}" name="Subkategorie" dataDxfId="56"/>
    <tableColumn id="4" xr3:uid="{B62BD2B4-3424-4998-BF46-005583671FED}" name="Betrag" dataDxfId="55"/>
    <tableColumn id="9" xr3:uid="{46C4925E-A4F6-40B4-B050-1855C22BDCC6}" name="Empfänger" dataDxfId="54"/>
    <tableColumn id="5" xr3:uid="{F4493CB4-0899-4482-A52D-C7C88F145ADA}" name="Details" dataDxfId="53"/>
    <tableColumn id="7" xr3:uid="{6F6E6A0B-523C-4B6A-B7C3-82E940F2CA60}" name="Bilanz" dataDxfId="52">
      <calculatedColumnFormula array="1">SUMPRODUCT(
    Tracking[Betrag],
    --(Tracking[Datum]&lt;=Tracking[[#This Row],[Datum]]),
    (TRIM(Tracking[Type])="Einkommen") + (TRIM(Tracking[Type])="Initialbestand") + (TRIM(Tracking[Type])="System-Abgleich") - ((TRIM(Tracking[Type])="Fixkosten") + (TRIM(Tracking[Type])="Variablekosten") + (TRIM(Tracking[Type])="Investment"))
)</calculatedColumnFormula>
    </tableColumn>
    <tableColumn id="8" xr3:uid="{728CDE9C-6BCF-427D-B57C-6C1AD65B20E5}" name="Effektiv Datum" dataDxfId="51">
      <calculatedColumnFormula>IF(AND(Tracking[[#This Row],[Type]]="Einkommen",Einkommens_Verschiebung_Status=TRUE,DAY(Tracking[[#This Row],[Datum]])&gt;=Einkommens_Verschiebung_Starttag),DATE(YEAR(Tracking[[#This Row],[Datum]]),MONTH(Tracking[[#This Row],[Datum]])+1,1),Tracking[[#This Row],[Datum]])</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1.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9.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55516-FF61-4B2C-9577-718A0EE30591}">
  <sheetPr codeName="Tabelle1"/>
  <dimension ref="A1:A3"/>
  <sheetViews>
    <sheetView showGridLines="0" zoomScale="70" zoomScaleNormal="70" workbookViewId="0">
      <selection activeCell="AO34" sqref="AO34"/>
    </sheetView>
  </sheetViews>
  <sheetFormatPr baseColWidth="10" defaultColWidth="10.6640625" defaultRowHeight="14.4" x14ac:dyDescent="0.3"/>
  <sheetData>
    <row r="1" spans="1:1" s="146" customFormat="1" x14ac:dyDescent="0.3">
      <c r="A1" s="145" t="s">
        <v>72</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67685-8B20-4DA9-A542-69AB8101FA45}">
  <sheetPr codeName="Tabelle2">
    <tabColor theme="1" tint="0.499984740745262"/>
  </sheetPr>
  <dimension ref="A1:E19"/>
  <sheetViews>
    <sheetView workbookViewId="0">
      <selection activeCell="C18" sqref="C18"/>
    </sheetView>
  </sheetViews>
  <sheetFormatPr baseColWidth="10" defaultColWidth="10.6640625" defaultRowHeight="14.4" x14ac:dyDescent="0.3"/>
  <cols>
    <col min="1" max="1" width="20.88671875" customWidth="1"/>
    <col min="3" max="3" width="17.109375" customWidth="1"/>
    <col min="4" max="4" width="20" customWidth="1"/>
    <col min="5" max="5" width="24.44140625" customWidth="1"/>
    <col min="6" max="6" width="18.33203125" customWidth="1"/>
  </cols>
  <sheetData>
    <row r="1" spans="1:5" s="39" customFormat="1" ht="15" customHeight="1" x14ac:dyDescent="0.7">
      <c r="A1" s="147" t="s">
        <v>15</v>
      </c>
    </row>
    <row r="2" spans="1:5" s="39" customFormat="1" ht="15" customHeight="1" x14ac:dyDescent="0.7">
      <c r="A2" s="147"/>
    </row>
    <row r="3" spans="1:5" s="39" customFormat="1" ht="15" customHeight="1" x14ac:dyDescent="0.7">
      <c r="A3" s="147"/>
    </row>
    <row r="6" spans="1:5" x14ac:dyDescent="0.3">
      <c r="C6" s="43" t="s">
        <v>22</v>
      </c>
    </row>
    <row r="7" spans="1:5" x14ac:dyDescent="0.3">
      <c r="C7" s="10"/>
    </row>
    <row r="8" spans="1:5" x14ac:dyDescent="0.3">
      <c r="B8" t="s">
        <v>110</v>
      </c>
      <c r="C8" s="26"/>
      <c r="D8" s="98"/>
      <c r="E8" t="s">
        <v>117</v>
      </c>
    </row>
    <row r="9" spans="1:5" x14ac:dyDescent="0.3">
      <c r="B9" t="s">
        <v>111</v>
      </c>
      <c r="C9" s="13"/>
      <c r="D9" s="97"/>
      <c r="E9" t="s">
        <v>116</v>
      </c>
    </row>
    <row r="10" spans="1:5" x14ac:dyDescent="0.3">
      <c r="B10" t="s">
        <v>112</v>
      </c>
      <c r="C10" s="25"/>
      <c r="D10" s="96"/>
      <c r="E10" t="s">
        <v>114</v>
      </c>
    </row>
    <row r="11" spans="1:5" x14ac:dyDescent="0.3">
      <c r="B11" t="s">
        <v>113</v>
      </c>
      <c r="C11" s="27"/>
      <c r="D11" s="31"/>
      <c r="E11" t="s">
        <v>115</v>
      </c>
    </row>
    <row r="16" spans="1:5" x14ac:dyDescent="0.3">
      <c r="E16" s="44"/>
    </row>
    <row r="17" spans="5:5" x14ac:dyDescent="0.3">
      <c r="E17" s="44"/>
    </row>
    <row r="18" spans="5:5" x14ac:dyDescent="0.3">
      <c r="E18" s="44"/>
    </row>
    <row r="19" spans="5:5" x14ac:dyDescent="0.3">
      <c r="E19" s="44"/>
    </row>
  </sheetData>
  <mergeCells count="1">
    <mergeCell ref="A1:A3"/>
  </mergeCells>
  <conditionalFormatting sqref="D9">
    <cfRule type="expression" dxfId="50" priority="2">
      <formula>ROW(B9)&lt;=Investment_Max_Row</formula>
    </cfRule>
  </conditionalFormatting>
  <conditionalFormatting sqref="D10">
    <cfRule type="expression" dxfId="49" priority="3">
      <formula>ROW(B10)&lt;=Fixkosten_Max_Row</formula>
    </cfRule>
  </conditionalFormatting>
  <conditionalFormatting sqref="D8">
    <cfRule type="expression" dxfId="48" priority="1">
      <formula>ROW(B8)&lt;=Einkommen_Max_Row</formula>
    </cfRule>
  </conditionalFormatting>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75410-BA92-4427-99AA-8D5D941A8C49}">
  <sheetPr codeName="Tabelle3">
    <tabColor theme="1" tint="0.499984740745262"/>
  </sheetPr>
  <dimension ref="A1:L30"/>
  <sheetViews>
    <sheetView workbookViewId="0">
      <selection activeCell="G24" sqref="G24"/>
    </sheetView>
  </sheetViews>
  <sheetFormatPr baseColWidth="10" defaultColWidth="10.6640625" defaultRowHeight="14.4" x14ac:dyDescent="0.3"/>
  <cols>
    <col min="2" max="2" width="17.6640625" style="6" customWidth="1"/>
    <col min="4" max="4" width="20.88671875" style="6" customWidth="1"/>
    <col min="6" max="6" width="20.44140625" customWidth="1"/>
    <col min="8" max="8" width="21.5546875" customWidth="1"/>
    <col min="9" max="9" width="16" customWidth="1"/>
    <col min="10" max="10" width="19.33203125" customWidth="1"/>
    <col min="11" max="11" width="18.6640625" customWidth="1"/>
    <col min="12" max="12" width="16" customWidth="1"/>
  </cols>
  <sheetData>
    <row r="1" spans="1:12" s="39" customFormat="1" ht="15" customHeight="1" x14ac:dyDescent="0.7">
      <c r="A1" s="145" t="s">
        <v>56</v>
      </c>
      <c r="B1" s="145"/>
      <c r="C1" s="145"/>
      <c r="D1" s="145"/>
    </row>
    <row r="2" spans="1:12" s="39" customFormat="1" ht="15" customHeight="1" x14ac:dyDescent="0.7">
      <c r="A2" s="145"/>
      <c r="B2" s="145"/>
      <c r="C2" s="145"/>
      <c r="D2" s="145"/>
    </row>
    <row r="3" spans="1:12" s="39" customFormat="1" ht="15" customHeight="1" x14ac:dyDescent="0.7">
      <c r="A3" s="145"/>
      <c r="B3" s="145"/>
      <c r="C3" s="145"/>
      <c r="D3" s="145"/>
    </row>
    <row r="4" spans="1:12" ht="15" thickBot="1" x14ac:dyDescent="0.35"/>
    <row r="5" spans="1:12" x14ac:dyDescent="0.3">
      <c r="B5" s="55" t="s">
        <v>16</v>
      </c>
      <c r="D5" s="55" t="s">
        <v>67</v>
      </c>
      <c r="F5" s="55" t="s">
        <v>69</v>
      </c>
      <c r="I5" s="148" t="s">
        <v>143</v>
      </c>
      <c r="J5" s="149"/>
      <c r="K5" s="149"/>
      <c r="L5" s="150"/>
    </row>
    <row r="6" spans="1:12" x14ac:dyDescent="0.3">
      <c r="B6" s="56" t="s">
        <v>17</v>
      </c>
      <c r="D6" s="56" t="s">
        <v>68</v>
      </c>
      <c r="F6" s="56" t="s">
        <v>71</v>
      </c>
      <c r="I6" s="8" t="s">
        <v>20</v>
      </c>
      <c r="J6" s="8" t="s">
        <v>24</v>
      </c>
      <c r="K6" s="8" t="s">
        <v>27</v>
      </c>
      <c r="L6" s="8" t="s">
        <v>29</v>
      </c>
    </row>
    <row r="7" spans="1:12" x14ac:dyDescent="0.3">
      <c r="B7" s="56" t="s">
        <v>18</v>
      </c>
      <c r="D7" s="56">
        <f>start_jahr</f>
        <v>0</v>
      </c>
      <c r="F7" s="56" t="s">
        <v>70</v>
      </c>
      <c r="J7" s="8"/>
      <c r="K7" s="8"/>
      <c r="L7" s="8"/>
    </row>
    <row r="8" spans="1:12" ht="15" thickBot="1" x14ac:dyDescent="0.35">
      <c r="B8" s="57"/>
      <c r="D8" s="56">
        <f>D7+1</f>
        <v>1</v>
      </c>
      <c r="F8" s="58">
        <v>36526</v>
      </c>
      <c r="K8" s="8"/>
    </row>
    <row r="9" spans="1:12" x14ac:dyDescent="0.3">
      <c r="D9" s="56">
        <f t="shared" ref="D9:D21" si="0">D8+1</f>
        <v>2</v>
      </c>
      <c r="F9" s="58">
        <v>36557</v>
      </c>
      <c r="K9" s="8"/>
    </row>
    <row r="10" spans="1:12" x14ac:dyDescent="0.3">
      <c r="D10" s="56">
        <f t="shared" si="0"/>
        <v>3</v>
      </c>
      <c r="F10" s="58">
        <v>36586</v>
      </c>
      <c r="K10" s="8"/>
    </row>
    <row r="11" spans="1:12" x14ac:dyDescent="0.3">
      <c r="D11" s="56">
        <f t="shared" si="0"/>
        <v>4</v>
      </c>
      <c r="F11" s="58">
        <v>36617</v>
      </c>
    </row>
    <row r="12" spans="1:12" x14ac:dyDescent="0.3">
      <c r="D12" s="56">
        <f t="shared" si="0"/>
        <v>5</v>
      </c>
      <c r="F12" s="58">
        <v>36647</v>
      </c>
    </row>
    <row r="13" spans="1:12" x14ac:dyDescent="0.3">
      <c r="D13" s="56">
        <f t="shared" si="0"/>
        <v>6</v>
      </c>
      <c r="F13" s="58">
        <v>36678</v>
      </c>
    </row>
    <row r="14" spans="1:12" x14ac:dyDescent="0.3">
      <c r="D14" s="56">
        <f t="shared" si="0"/>
        <v>7</v>
      </c>
      <c r="F14" s="58">
        <v>36708</v>
      </c>
    </row>
    <row r="15" spans="1:12" x14ac:dyDescent="0.3">
      <c r="D15" s="56">
        <f t="shared" si="0"/>
        <v>8</v>
      </c>
      <c r="F15" s="58">
        <v>36739</v>
      </c>
    </row>
    <row r="16" spans="1:12" x14ac:dyDescent="0.3">
      <c r="D16" s="56">
        <f t="shared" si="0"/>
        <v>9</v>
      </c>
      <c r="F16" s="58">
        <v>36770</v>
      </c>
    </row>
    <row r="17" spans="4:6" x14ac:dyDescent="0.3">
      <c r="D17" s="56">
        <f t="shared" si="0"/>
        <v>10</v>
      </c>
      <c r="F17" s="58">
        <v>36800</v>
      </c>
    </row>
    <row r="18" spans="4:6" x14ac:dyDescent="0.3">
      <c r="D18" s="56">
        <f t="shared" si="0"/>
        <v>11</v>
      </c>
      <c r="F18" s="58">
        <v>36831</v>
      </c>
    </row>
    <row r="19" spans="4:6" x14ac:dyDescent="0.3">
      <c r="D19" s="56">
        <f t="shared" si="0"/>
        <v>12</v>
      </c>
      <c r="F19" s="58">
        <v>36861</v>
      </c>
    </row>
    <row r="20" spans="4:6" ht="15" thickBot="1" x14ac:dyDescent="0.35">
      <c r="D20" s="56">
        <f t="shared" si="0"/>
        <v>13</v>
      </c>
      <c r="F20" s="59"/>
    </row>
    <row r="21" spans="4:6" x14ac:dyDescent="0.3">
      <c r="D21" s="56">
        <f t="shared" si="0"/>
        <v>14</v>
      </c>
    </row>
    <row r="22" spans="4:6" ht="15" thickBot="1" x14ac:dyDescent="0.35">
      <c r="D22" s="57"/>
    </row>
    <row r="30" spans="4:6" x14ac:dyDescent="0.3">
      <c r="F30" s="132"/>
    </row>
  </sheetData>
  <mergeCells count="2">
    <mergeCell ref="A1:D3"/>
    <mergeCell ref="I5:L5"/>
  </mergeCells>
  <pageMargins left="0.7" right="0.7" top="0.78740157499999996" bottom="0.78740157499999996" header="0.3" footer="0.3"/>
  <drawing r:id="rId1"/>
  <tableParts count="4">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0B8C6-9A91-44C3-879A-8916E9585959}">
  <sheetPr codeName="Tabelle4">
    <tabColor theme="1" tint="0.499984740745262"/>
  </sheetPr>
  <dimension ref="A1:AG115"/>
  <sheetViews>
    <sheetView topLeftCell="A30" zoomScale="115" zoomScaleNormal="115" workbookViewId="0">
      <selection activeCell="AF61" sqref="AF61"/>
    </sheetView>
  </sheetViews>
  <sheetFormatPr baseColWidth="10" defaultColWidth="10.6640625" defaultRowHeight="14.4" x14ac:dyDescent="0.3"/>
  <cols>
    <col min="2" max="2" width="4.109375" customWidth="1"/>
    <col min="3" max="3" width="22.6640625" bestFit="1" customWidth="1"/>
    <col min="4" max="4" width="24.109375" bestFit="1" customWidth="1"/>
    <col min="5" max="5" width="13.5546875" customWidth="1"/>
    <col min="6" max="6" width="13.44140625" bestFit="1" customWidth="1"/>
    <col min="7" max="7" width="11.33203125" bestFit="1" customWidth="1"/>
    <col min="8" max="8" width="14.44140625" bestFit="1" customWidth="1"/>
    <col min="9" max="9" width="15.88671875" bestFit="1" customWidth="1"/>
    <col min="10" max="15" width="14.109375" customWidth="1"/>
    <col min="16" max="16" width="15.88671875" bestFit="1" customWidth="1"/>
    <col min="17" max="17" width="13.33203125" customWidth="1"/>
    <col min="19" max="19" width="22.6640625" bestFit="1" customWidth="1"/>
    <col min="20" max="20" width="17.88671875" bestFit="1" customWidth="1"/>
    <col min="21" max="21" width="10.33203125" bestFit="1" customWidth="1"/>
    <col min="22" max="22" width="10.5546875" bestFit="1" customWidth="1"/>
    <col min="23" max="23" width="15.44140625" bestFit="1" customWidth="1"/>
    <col min="24" max="24" width="14.33203125" bestFit="1" customWidth="1"/>
    <col min="25" max="25" width="11.44140625" bestFit="1" customWidth="1"/>
    <col min="26" max="26" width="5.5546875" bestFit="1" customWidth="1"/>
    <col min="27" max="27" width="20.88671875" bestFit="1" customWidth="1"/>
    <col min="28" max="28" width="16.6640625" bestFit="1" customWidth="1"/>
    <col min="29" max="29" width="8.6640625" bestFit="1" customWidth="1"/>
    <col min="30" max="30" width="13.6640625" bestFit="1" customWidth="1"/>
    <col min="31" max="31" width="5.5546875" bestFit="1" customWidth="1"/>
    <col min="32" max="32" width="6.44140625" bestFit="1" customWidth="1"/>
    <col min="33" max="33" width="15.88671875" bestFit="1" customWidth="1"/>
  </cols>
  <sheetData>
    <row r="1" spans="1:5" s="39" customFormat="1" ht="15" customHeight="1" x14ac:dyDescent="0.7">
      <c r="A1" s="147" t="s">
        <v>55</v>
      </c>
      <c r="B1" s="147"/>
      <c r="C1" s="147"/>
    </row>
    <row r="2" spans="1:5" s="39" customFormat="1" ht="15" customHeight="1" x14ac:dyDescent="0.7">
      <c r="A2" s="147"/>
      <c r="B2" s="147"/>
      <c r="C2" s="147"/>
    </row>
    <row r="3" spans="1:5" s="39" customFormat="1" ht="15" customHeight="1" x14ac:dyDescent="0.7">
      <c r="A3" s="147"/>
      <c r="B3" s="147"/>
      <c r="C3" s="147"/>
    </row>
    <row r="4" spans="1:5" ht="15" thickBot="1" x14ac:dyDescent="0.35"/>
    <row r="5" spans="1:5" x14ac:dyDescent="0.3">
      <c r="B5" s="154" t="s">
        <v>53</v>
      </c>
      <c r="C5" s="155"/>
      <c r="D5" s="155"/>
      <c r="E5" s="156"/>
    </row>
    <row r="6" spans="1:5" x14ac:dyDescent="0.3">
      <c r="B6" s="1"/>
      <c r="E6" s="2"/>
    </row>
    <row r="7" spans="1:5" ht="15.6" x14ac:dyDescent="0.3">
      <c r="B7" s="1"/>
      <c r="C7" s="51" t="s">
        <v>54</v>
      </c>
      <c r="D7" s="52" cm="1">
        <f t="array" aca="1" ref="D7" ca="1">current_date</f>
        <v>46095</v>
      </c>
      <c r="E7" s="2"/>
    </row>
    <row r="8" spans="1:5" ht="15.6" x14ac:dyDescent="0.3">
      <c r="B8" s="1"/>
      <c r="C8" s="51" t="s">
        <v>57</v>
      </c>
      <c r="D8" s="52">
        <f>MAX(Tracking[Datum])</f>
        <v>0</v>
      </c>
      <c r="E8" s="2"/>
    </row>
    <row r="9" spans="1:5" ht="15.6" x14ac:dyDescent="0.3">
      <c r="B9" s="1"/>
      <c r="C9" s="51" t="s">
        <v>58</v>
      </c>
      <c r="D9" s="53" t="str">
        <f>IF(D8=0,"","("&amp;_xlfn.DAYS(D7,D8)&amp;" Tage her)")</f>
        <v/>
      </c>
      <c r="E9" s="2"/>
    </row>
    <row r="10" spans="1:5" ht="15.6" x14ac:dyDescent="0.3">
      <c r="B10" s="1"/>
      <c r="C10" s="51" t="s">
        <v>59</v>
      </c>
      <c r="D10">
        <f>COUNT(Tracking[Datum])</f>
        <v>0</v>
      </c>
      <c r="E10" s="2"/>
    </row>
    <row r="11" spans="1:5" ht="15.6" x14ac:dyDescent="0.3">
      <c r="B11" s="1"/>
      <c r="C11" s="51" t="s">
        <v>60</v>
      </c>
      <c r="D11" t="str" cm="1">
        <f t="array" aca="1" ref="D11" ca="1">"(" &amp; SUMPRODUCT(--(YEAR(Tracking[Datum])=YEAR(Heutiger_Tag))) &amp; " dieses Jahr)"</f>
        <v>(0 dieses Jahr)</v>
      </c>
      <c r="E11" s="2"/>
    </row>
    <row r="12" spans="1:5" ht="15.6" x14ac:dyDescent="0.3">
      <c r="B12" s="1"/>
      <c r="C12" s="51" t="s">
        <v>61</v>
      </c>
      <c r="D12" s="54" t="str">
        <f>_xlfn.IFNA(INDEX(Tracking[Bilanz],MATCH(Calculations!D8,Tracking[Datum],0)),"-")</f>
        <v>-</v>
      </c>
      <c r="E12" s="2"/>
    </row>
    <row r="13" spans="1:5" ht="15.6" x14ac:dyDescent="0.3">
      <c r="B13" s="1"/>
      <c r="C13" s="51" t="s">
        <v>62</v>
      </c>
      <c r="D13" s="8" t="str">
        <f>IF(D12&gt;=0,"Verfügbares Einkommen (noch nicht zugewiesen)","Geplante Ausgaben (nicht gedeckt)")</f>
        <v>Verfügbares Einkommen (noch nicht zugewiesen)</v>
      </c>
      <c r="E13" s="2"/>
    </row>
    <row r="14" spans="1:5" x14ac:dyDescent="0.3">
      <c r="B14" s="1"/>
      <c r="E14" s="2"/>
    </row>
    <row r="15" spans="1:5" ht="15" thickBot="1" x14ac:dyDescent="0.35">
      <c r="B15" s="3"/>
      <c r="C15" s="4"/>
      <c r="D15" s="4"/>
      <c r="E15" s="5"/>
    </row>
    <row r="16" spans="1:5" ht="15" thickBot="1" x14ac:dyDescent="0.35"/>
    <row r="17" spans="2:17" x14ac:dyDescent="0.3">
      <c r="B17" s="154" t="s">
        <v>74</v>
      </c>
      <c r="C17" s="155"/>
      <c r="D17" s="155"/>
      <c r="E17" s="156"/>
    </row>
    <row r="18" spans="2:17" x14ac:dyDescent="0.3">
      <c r="B18" s="69"/>
      <c r="C18" s="70"/>
      <c r="D18" s="70"/>
      <c r="E18" s="71"/>
    </row>
    <row r="19" spans="2:17" x14ac:dyDescent="0.3">
      <c r="B19" s="69"/>
      <c r="C19" s="72" t="s">
        <v>75</v>
      </c>
      <c r="D19" s="70" cm="1">
        <f t="array" aca="1" ref="D19" ca="1">IF('Budget Dashboard'!$AQ$6="Aktuelles Jahr", YEAR(Heutiger_Tag),'Budget Dashboard'!$AQ$6)</f>
        <v>2026</v>
      </c>
      <c r="E19" s="71"/>
    </row>
    <row r="20" spans="2:17" x14ac:dyDescent="0.3">
      <c r="B20" s="69"/>
      <c r="C20" s="72" t="s">
        <v>76</v>
      </c>
      <c r="D20" s="66" cm="1">
        <f t="array" aca="1" ref="D20:E20" ca="1">IF('Budget Dashboard'!AQ9:AR9="Jahresübersicht","Jahresübersicht", IF('Budget Dashboard'!AQ9:AR9="Aktueller Monat", MONTH(Heutiger_Tag),MONTH('Budget Dashboard'!AQ9:AR9)))</f>
        <v>3</v>
      </c>
      <c r="E20" s="2">
        <f ca="1"/>
        <v>1</v>
      </c>
    </row>
    <row r="21" spans="2:17" x14ac:dyDescent="0.3">
      <c r="B21" s="69"/>
      <c r="C21" s="72" t="s">
        <v>77</v>
      </c>
      <c r="D21" s="73" t="str">
        <f ca="1">IF(selected_period="Jahresübersicht", "Jahresübersicht", TEXT(DATE(selected_year,selected_period,1),"MMMM"))</f>
        <v>März</v>
      </c>
      <c r="E21" s="71"/>
    </row>
    <row r="22" spans="2:17" x14ac:dyDescent="0.3">
      <c r="B22" s="69"/>
      <c r="C22" s="72" t="s">
        <v>78</v>
      </c>
      <c r="D22" s="70">
        <f ca="1">IF(selected_period="Jahresübersicht",DATE(selected_year,12,31) - DATE(selected_year-1,12,31),DAY(EOMONTH(DATE(selected_year, selected_period, 1), 0)))</f>
        <v>31</v>
      </c>
      <c r="E22" s="71"/>
    </row>
    <row r="23" spans="2:17" x14ac:dyDescent="0.3">
      <c r="B23" s="69"/>
      <c r="C23" s="72" t="s">
        <v>79</v>
      </c>
      <c r="D23" s="70" cm="1">
        <f t="array" aca="1" ref="D23" ca="1">IF(selected_year=YEAR(current_date),
  IF(selected_period="Jahresübersicht", current_date-DATE(selected_year-1,12,31),
   IF(selected_period=MONTH(current_date),DAY(current_date),
    IF(selected_period&lt;MONTH(current_date),D22,0))),
     IF(selected_year&lt;YEAR(current_date),D22,0))</f>
        <v>14</v>
      </c>
      <c r="E23" s="71"/>
    </row>
    <row r="24" spans="2:17" x14ac:dyDescent="0.3">
      <c r="B24" s="69"/>
      <c r="C24" s="72" t="s">
        <v>80</v>
      </c>
      <c r="D24" s="74">
        <f ca="1">D23/D22</f>
        <v>0.45161290322580644</v>
      </c>
      <c r="E24" s="71"/>
    </row>
    <row r="25" spans="2:17" ht="28.8" x14ac:dyDescent="0.3">
      <c r="B25" s="69"/>
      <c r="C25" s="72" t="s">
        <v>81</v>
      </c>
      <c r="D25" s="75">
        <f ca="1">E40-(I40+M40+Q40)</f>
        <v>0</v>
      </c>
      <c r="E25" s="71"/>
      <c r="G25" s="131"/>
      <c r="H25" s="131"/>
    </row>
    <row r="26" spans="2:17" ht="28.8" x14ac:dyDescent="0.3">
      <c r="B26" s="69"/>
      <c r="C26" s="72" t="s">
        <v>82</v>
      </c>
      <c r="D26" s="70" t="str">
        <f ca="1">IF(D25&gt;=0," of tracked income left to be allocated", "allocated not covered by income")</f>
        <v xml:space="preserve"> of tracked income left to be allocated</v>
      </c>
      <c r="E26" s="71"/>
    </row>
    <row r="27" spans="2:17" x14ac:dyDescent="0.3">
      <c r="B27" s="69"/>
      <c r="C27" s="72" t="s">
        <v>83</v>
      </c>
      <c r="D27" s="74" t="str">
        <f ca="1">IFERROR(IF(savings_rate_calculation_type="Aktiv", Q40/E40, (E40-(I40+M40))/E40),"-")</f>
        <v>-</v>
      </c>
      <c r="E27" s="71"/>
    </row>
    <row r="28" spans="2:17" ht="15" thickBot="1" x14ac:dyDescent="0.35">
      <c r="B28" s="3"/>
      <c r="C28" s="4"/>
      <c r="D28" s="4"/>
      <c r="E28" s="5"/>
    </row>
    <row r="31" spans="2:17" ht="43.2" x14ac:dyDescent="0.3">
      <c r="C31" s="108" t="s">
        <v>118</v>
      </c>
      <c r="D31" s="107"/>
      <c r="E31" s="107"/>
      <c r="F31" s="107"/>
      <c r="G31" s="107"/>
      <c r="H31" s="107"/>
      <c r="I31" s="107"/>
      <c r="J31" s="107"/>
      <c r="K31" s="107"/>
      <c r="L31" s="107"/>
      <c r="M31" s="107"/>
      <c r="N31" s="107"/>
      <c r="O31" s="107"/>
      <c r="P31" s="107"/>
      <c r="Q31" s="107"/>
    </row>
    <row r="33" spans="3:17" x14ac:dyDescent="0.3">
      <c r="C33" s="109" t="s">
        <v>20</v>
      </c>
      <c r="D33" s="109" t="s">
        <v>48</v>
      </c>
      <c r="E33" s="109" t="s">
        <v>49</v>
      </c>
      <c r="G33" s="109" t="s">
        <v>24</v>
      </c>
      <c r="H33" s="109" t="s">
        <v>48</v>
      </c>
      <c r="I33" s="109" t="s">
        <v>49</v>
      </c>
      <c r="K33" s="109" t="s">
        <v>27</v>
      </c>
      <c r="L33" s="109" t="s">
        <v>48</v>
      </c>
      <c r="M33" s="109" t="s">
        <v>49</v>
      </c>
      <c r="O33" s="109" t="s">
        <v>29</v>
      </c>
      <c r="P33" s="109" t="s">
        <v>48</v>
      </c>
      <c r="Q33" s="109" t="s">
        <v>49</v>
      </c>
    </row>
    <row r="34" spans="3:17" x14ac:dyDescent="0.3">
      <c r="C34" s="110">
        <v>1</v>
      </c>
      <c r="D34" s="110" t="e" cm="1">
        <f t="array" aca="1" ref="D34" ca="1">IF(E34="","",INDEX('Budget Dashboard'!J:J, MATCH(Einkommen_Header_Row + Calculations!C34,'Budget Dashboard'!$X:$X,0)))</f>
        <v>#N/A</v>
      </c>
      <c r="E34" s="111" t="e" cm="1">
        <f t="array" aca="1" ref="E34" ca="1">IF(C34&gt;COUNTA(Einkommen[]),"",
  IF(INDEX('Budget Dashboard'!$K:$K, MATCH(Einkommen_Header_Row + Calculations!C34,'Budget Dashboard'!$X:$X,0))=0,"",
   INDEX('Budget Dashboard'!$K:$K, MATCH(Einkommen_Header_Row + Calculations!C34,'Budget Dashboard'!$X:$X,0))))</f>
        <v>#N/A</v>
      </c>
      <c r="G34" s="110">
        <v>1</v>
      </c>
      <c r="H34" s="110" t="e" cm="1">
        <f t="array" aca="1" ref="H34" ca="1">IF(I34="","",INDEX('Budget Dashboard'!J:J, MATCH(Fixkosten_Header_Row + Calculations!C34,'Budget Dashboard'!$X:$X,0)))</f>
        <v>#N/A</v>
      </c>
      <c r="I34" s="111" t="e" cm="1">
        <f t="array" aca="1" ref="I34" ca="1">IF(G34&gt;COUNTA(Fixkosten[]),"",
  IF(INDEX('Budget Dashboard'!$K:$K, MATCH(Fixkosten_Header_Row + Calculations!G34,'Budget Dashboard'!$X:$X,0))=0,"",
   INDEX('Budget Dashboard'!$K:$K, MATCH(Fixkosten_Header_Row + Calculations!G34,'Budget Dashboard'!$X:$X,0))))</f>
        <v>#N/A</v>
      </c>
      <c r="K34" s="110">
        <v>1</v>
      </c>
      <c r="L34" s="110" t="e" cm="1">
        <f t="array" aca="1" ref="L34" ca="1">IF(M34="","",INDEX('Budget Dashboard'!J:J, MATCH(Variablekosten_Header_Row + Calculations!C34,'Budget Dashboard'!$X:$X,0)))</f>
        <v>#N/A</v>
      </c>
      <c r="M34" s="111" t="e" cm="1">
        <f t="array" aca="1" ref="M34" ca="1">IF(K34&gt;COUNTA(Variablekosten[]),"",
  IF(INDEX('Budget Dashboard'!$K:$K, MATCH(Variablekosten_Header_Row + Calculations!K34,'Budget Dashboard'!$X:$X,0))=0,"",
   INDEX('Budget Dashboard'!$K:$K, MATCH(Variablekosten_Header_Row + Calculations!K34,'Budget Dashboard'!$X:$X,0))))</f>
        <v>#N/A</v>
      </c>
      <c r="O34" s="110">
        <v>1</v>
      </c>
      <c r="P34" s="110" t="e" cm="1">
        <f t="array" aca="1" ref="P34" ca="1">IF(Q34="","",INDEX('Budget Dashboard'!J:J, MATCH(Investment_Header_Row + Calculations!C34,'Budget Dashboard'!$X:$X,0)))</f>
        <v>#N/A</v>
      </c>
      <c r="Q34" s="111" t="e" cm="1">
        <f t="array" aca="1" ref="Q34" ca="1">IF(O34&gt;COUNTA(Investment[]),"",
  IF(INDEX('Budget Dashboard'!$K:$K, MATCH(Investment_Header_Row + Calculations!O34,'Budget Dashboard'!$X:$X,0))=0,"",
   INDEX('Budget Dashboard'!$K:$K, MATCH(Investment_Header_Row + Calculations!O34,'Budget Dashboard'!$X:$X,0))))</f>
        <v>#N/A</v>
      </c>
    </row>
    <row r="35" spans="3:17" x14ac:dyDescent="0.3">
      <c r="C35" s="110">
        <v>2</v>
      </c>
      <c r="D35" s="110" t="e" cm="1">
        <f t="array" aca="1" ref="D35" ca="1">IF(E35="","",INDEX('Budget Dashboard'!J:J, MATCH(Einkommen_Header_Row + Calculations!C35,'Budget Dashboard'!$X:$X,0)))</f>
        <v>#N/A</v>
      </c>
      <c r="E35" s="111" t="e" cm="1">
        <f t="array" aca="1" ref="E35" ca="1">IF(C35&gt;COUNTA(Einkommen[]),"",
  IF(INDEX('Budget Dashboard'!$K:$K, MATCH(Einkommen_Header_Row + Calculations!C35,'Budget Dashboard'!$X:$X,0))=0,"",
   INDEX('Budget Dashboard'!$K:$K, MATCH(Einkommen_Header_Row + Calculations!C35,'Budget Dashboard'!$X:$X,0))))</f>
        <v>#N/A</v>
      </c>
      <c r="G35" s="110">
        <v>2</v>
      </c>
      <c r="H35" s="110" t="e" cm="1">
        <f t="array" aca="1" ref="H35" ca="1">IF(I35="","",INDEX('Budget Dashboard'!J:J, MATCH(Fixkosten_Header_Row + Calculations!C35,'Budget Dashboard'!$X:$X,0)))</f>
        <v>#N/A</v>
      </c>
      <c r="I35" s="111" t="e" cm="1">
        <f t="array" aca="1" ref="I35" ca="1">IF(G35&gt;COUNTA(Fixkosten[]),"",
  IF(INDEX('Budget Dashboard'!$K:$K, MATCH(Fixkosten_Header_Row + Calculations!G35,'Budget Dashboard'!$X:$X,0))=0,"",
   INDEX('Budget Dashboard'!$K:$K, MATCH(Fixkosten_Header_Row + Calculations!G35,'Budget Dashboard'!$X:$X,0))))</f>
        <v>#N/A</v>
      </c>
      <c r="K35" s="110">
        <v>2</v>
      </c>
      <c r="L35" s="110" t="e" cm="1">
        <f t="array" aca="1" ref="L35" ca="1">IF(M35="","",INDEX('Budget Dashboard'!J:J, MATCH(Variablekosten_Header_Row + Calculations!C35,'Budget Dashboard'!$X:$X,0)))</f>
        <v>#N/A</v>
      </c>
      <c r="M35" s="111" t="e" cm="1">
        <f t="array" aca="1" ref="M35" ca="1">IF(K35&gt;COUNTA(Variablekosten[]),"",
  IF(INDEX('Budget Dashboard'!$K:$K, MATCH(Variablekosten_Header_Row + Calculations!K35,'Budget Dashboard'!$X:$X,0))=0,"",
   INDEX('Budget Dashboard'!$K:$K, MATCH(Variablekosten_Header_Row + Calculations!K35,'Budget Dashboard'!$X:$X,0))))</f>
        <v>#N/A</v>
      </c>
      <c r="O35" s="110">
        <v>2</v>
      </c>
      <c r="P35" s="110" t="e" cm="1">
        <f t="array" aca="1" ref="P35" ca="1">IF(Q35="","",INDEX('Budget Dashboard'!J:J, MATCH(Investment_Header_Row + Calculations!C35,'Budget Dashboard'!$X:$X,0)))</f>
        <v>#N/A</v>
      </c>
      <c r="Q35" s="111" t="e" cm="1">
        <f t="array" aca="1" ref="Q35" ca="1">IF(O35&gt;COUNTA(Investment[]),"",
  IF(INDEX('Budget Dashboard'!$K:$K, MATCH(Investment_Header_Row + Calculations!O35,'Budget Dashboard'!$X:$X,0))=0,"",
   INDEX('Budget Dashboard'!$K:$K, MATCH(Investment_Header_Row + Calculations!O35,'Budget Dashboard'!$X:$X,0))))</f>
        <v>#N/A</v>
      </c>
    </row>
    <row r="36" spans="3:17" x14ac:dyDescent="0.3">
      <c r="C36" s="110">
        <v>3</v>
      </c>
      <c r="D36" s="110" t="e" cm="1">
        <f t="array" aca="1" ref="D36" ca="1">IF(E36="","",INDEX('Budget Dashboard'!J:J, MATCH(Einkommen_Header_Row + Calculations!C36,'Budget Dashboard'!$X:$X,0)))</f>
        <v>#N/A</v>
      </c>
      <c r="E36" s="111" t="e" cm="1">
        <f t="array" aca="1" ref="E36" ca="1">IF(C36&gt;COUNTA(Einkommen[]),"",
  IF(INDEX('Budget Dashboard'!$K:$K, MATCH(Einkommen_Header_Row + Calculations!C36,'Budget Dashboard'!$X:$X,0))=0,"",
   INDEX('Budget Dashboard'!$K:$K, MATCH(Einkommen_Header_Row + Calculations!C36,'Budget Dashboard'!$X:$X,0))))</f>
        <v>#N/A</v>
      </c>
      <c r="G36" s="110">
        <v>3</v>
      </c>
      <c r="H36" s="110" t="e" cm="1">
        <f t="array" aca="1" ref="H36" ca="1">IF(I36="","",INDEX('Budget Dashboard'!J:J, MATCH(Fixkosten_Header_Row + Calculations!C36,'Budget Dashboard'!$X:$X,0)))</f>
        <v>#N/A</v>
      </c>
      <c r="I36" s="111" t="e" cm="1">
        <f t="array" aca="1" ref="I36" ca="1">IF(G36&gt;COUNTA(Fixkosten[]),"",
  IF(INDEX('Budget Dashboard'!$K:$K, MATCH(Fixkosten_Header_Row + Calculations!G36,'Budget Dashboard'!$X:$X,0))=0,"",
   INDEX('Budget Dashboard'!$K:$K, MATCH(Fixkosten_Header_Row + Calculations!G36,'Budget Dashboard'!$X:$X,0))))</f>
        <v>#N/A</v>
      </c>
      <c r="K36" s="110">
        <v>3</v>
      </c>
      <c r="L36" s="110" t="e" cm="1">
        <f t="array" aca="1" ref="L36" ca="1">IF(M36="","",INDEX('Budget Dashboard'!J:J, MATCH(Variablekosten_Header_Row + Calculations!C36,'Budget Dashboard'!$X:$X,0)))</f>
        <v>#N/A</v>
      </c>
      <c r="M36" s="111" t="e" cm="1">
        <f t="array" aca="1" ref="M36" ca="1">IF(K36&gt;COUNTA(Variablekosten[]),"",
  IF(INDEX('Budget Dashboard'!$K:$K, MATCH(Variablekosten_Header_Row + Calculations!K36,'Budget Dashboard'!$X:$X,0))=0,"",
   INDEX('Budget Dashboard'!$K:$K, MATCH(Variablekosten_Header_Row + Calculations!K36,'Budget Dashboard'!$X:$X,0))))</f>
        <v>#N/A</v>
      </c>
      <c r="O36" s="110">
        <v>3</v>
      </c>
      <c r="P36" s="110" t="e" cm="1">
        <f t="array" aca="1" ref="P36" ca="1">IF(Q36="","",INDEX('Budget Dashboard'!J:J, MATCH(Investment_Header_Row + Calculations!C36,'Budget Dashboard'!$X:$X,0)))</f>
        <v>#N/A</v>
      </c>
      <c r="Q36" s="111" t="e" cm="1">
        <f t="array" aca="1" ref="Q36" ca="1">IF(O36&gt;COUNTA(Investment[]),"",
  IF(INDEX('Budget Dashboard'!$K:$K, MATCH(Investment_Header_Row + Calculations!O36,'Budget Dashboard'!$X:$X,0))=0,"",
   INDEX('Budget Dashboard'!$K:$K, MATCH(Investment_Header_Row + Calculations!O36,'Budget Dashboard'!$X:$X,0))))</f>
        <v>#N/A</v>
      </c>
    </row>
    <row r="37" spans="3:17" x14ac:dyDescent="0.3">
      <c r="C37" s="110">
        <v>4</v>
      </c>
      <c r="D37" s="110" t="str" cm="1">
        <f t="array" ref="D37">IF(E37="","",INDEX('Budget Dashboard'!J:J, MATCH(Einkommen_Header_Row + Calculations!C37,'Budget Dashboard'!$X:$X,0)))</f>
        <v/>
      </c>
      <c r="E37" s="111" t="str" cm="1">
        <f t="array" ref="E37">IF(C37&gt;COUNTA(Einkommen[]),"",
  IF(INDEX('Budget Dashboard'!$K:$K, MATCH(Einkommen_Header_Row + Calculations!C37,'Budget Dashboard'!$X:$X,0))=0,"",
   INDEX('Budget Dashboard'!$K:$K, MATCH(Einkommen_Header_Row + Calculations!C37,'Budget Dashboard'!$X:$X,0))))</f>
        <v/>
      </c>
      <c r="G37" s="110">
        <v>4</v>
      </c>
      <c r="H37" s="110" t="e" cm="1">
        <f t="array" aca="1" ref="H37" ca="1">IF(I37="","",INDEX('Budget Dashboard'!J:J, MATCH(Fixkosten_Header_Row + Calculations!C37,'Budget Dashboard'!$X:$X,0)))</f>
        <v>#N/A</v>
      </c>
      <c r="I37" s="111" t="e" cm="1">
        <f t="array" aca="1" ref="I37" ca="1">IF(G37&gt;COUNTA(Fixkosten[]),"",
  IF(INDEX('Budget Dashboard'!$K:$K, MATCH(Fixkosten_Header_Row + Calculations!G37,'Budget Dashboard'!$X:$X,0))=0,"",
   INDEX('Budget Dashboard'!$K:$K, MATCH(Fixkosten_Header_Row + Calculations!G37,'Budget Dashboard'!$X:$X,0))))</f>
        <v>#N/A</v>
      </c>
      <c r="K37" s="110">
        <v>4</v>
      </c>
      <c r="L37" s="110" t="e" cm="1">
        <f t="array" aca="1" ref="L37" ca="1">IF(M37="","",INDEX('Budget Dashboard'!J:J, MATCH(Variablekosten_Header_Row + Calculations!C37,'Budget Dashboard'!$X:$X,0)))</f>
        <v>#N/A</v>
      </c>
      <c r="M37" s="111" t="e" cm="1">
        <f t="array" aca="1" ref="M37" ca="1">IF(K37&gt;COUNTA(Variablekosten[]),"",
  IF(INDEX('Budget Dashboard'!$K:$K, MATCH(Variablekosten_Header_Row + Calculations!K37,'Budget Dashboard'!$X:$X,0))=0,"",
   INDEX('Budget Dashboard'!$K:$K, MATCH(Variablekosten_Header_Row + Calculations!K37,'Budget Dashboard'!$X:$X,0))))</f>
        <v>#N/A</v>
      </c>
      <c r="O37" s="110">
        <v>4</v>
      </c>
      <c r="P37" s="110" t="str" cm="1">
        <f t="array" ref="P37">IF(Q37="","",INDEX('Budget Dashboard'!J:J, MATCH(Investment_Header_Row + Calculations!C37,'Budget Dashboard'!$X:$X,0)))</f>
        <v/>
      </c>
      <c r="Q37" s="111" t="str" cm="1">
        <f t="array" ref="Q37">IF(O37&gt;COUNTA(Investment[]),"",
  IF(INDEX('Budget Dashboard'!$K:$K, MATCH(Investment_Header_Row + Calculations!O37,'Budget Dashboard'!$X:$X,0))=0,"",
   INDEX('Budget Dashboard'!$K:$K, MATCH(Investment_Header_Row + Calculations!O37,'Budget Dashboard'!$X:$X,0))))</f>
        <v/>
      </c>
    </row>
    <row r="38" spans="3:17" x14ac:dyDescent="0.3">
      <c r="C38" s="110">
        <v>5</v>
      </c>
      <c r="D38" s="110" t="str" cm="1">
        <f t="array" ref="D38">IF(E38="","",INDEX('Budget Dashboard'!J:J, MATCH(Einkommen_Header_Row + Calculations!C38,'Budget Dashboard'!$X:$X,0)))</f>
        <v/>
      </c>
      <c r="E38" s="111" t="str" cm="1">
        <f t="array" ref="E38">IF(C38&gt;COUNTA(Einkommen[]),"",
  IF(INDEX('Budget Dashboard'!$K:$K, MATCH(Einkommen_Header_Row + Calculations!C38,'Budget Dashboard'!$X:$X,0))=0,"",
   INDEX('Budget Dashboard'!$K:$K, MATCH(Einkommen_Header_Row + Calculations!C38,'Budget Dashboard'!$X:$X,0))))</f>
        <v/>
      </c>
      <c r="G38" s="110">
        <v>5</v>
      </c>
      <c r="H38" s="110" t="str" cm="1">
        <f t="array" ref="H38">IF(I38="","",INDEX('Budget Dashboard'!J:J, MATCH(Fixkosten_Header_Row + Calculations!C38,'Budget Dashboard'!$X:$X,0)))</f>
        <v/>
      </c>
      <c r="I38" s="110" t="str" cm="1">
        <f t="array" ref="I38">IF(G38&gt;COUNTA(Fixkosten[]),"",
  IF(INDEX('Budget Dashboard'!$K:$K, MATCH(Fixkosten_Header_Row + Calculations!G38,'Budget Dashboard'!$X:$X,0))=0,"",
   INDEX('Budget Dashboard'!$K:$K, MATCH(Fixkosten_Header_Row + Calculations!G38,'Budget Dashboard'!$X:$X,0))))</f>
        <v/>
      </c>
      <c r="K38" s="110">
        <v>5</v>
      </c>
      <c r="L38" s="110" t="e" cm="1">
        <f t="array" aca="1" ref="L38" ca="1">IF(M38="","",INDEX('Budget Dashboard'!J:J, MATCH(Variablekosten_Header_Row + Calculations!C38,'Budget Dashboard'!$X:$X,0)))</f>
        <v>#N/A</v>
      </c>
      <c r="M38" s="111" t="e" cm="1">
        <f t="array" aca="1" ref="M38" ca="1">IF(K38&gt;COUNTA(Variablekosten[]),"",
  IF(INDEX('Budget Dashboard'!$K:$K, MATCH(Variablekosten_Header_Row + Calculations!K38,'Budget Dashboard'!$X:$X,0))=0,"",
   INDEX('Budget Dashboard'!$K:$K, MATCH(Variablekosten_Header_Row + Calculations!K38,'Budget Dashboard'!$X:$X,0))))</f>
        <v>#N/A</v>
      </c>
      <c r="O38" s="110">
        <v>5</v>
      </c>
      <c r="P38" s="110" t="str" cm="1">
        <f t="array" ref="P38">IF(Q38="","",INDEX('Budget Dashboard'!J:J, MATCH(Investment_Header_Row + Calculations!C38,'Budget Dashboard'!$X:$X,0)))</f>
        <v/>
      </c>
      <c r="Q38" s="111" t="str" cm="1">
        <f t="array" ref="Q38">IF(O38&gt;COUNTA(Investment[]),"",
  IF(INDEX('Budget Dashboard'!$K:$K, MATCH(Investment_Header_Row + Calculations!O38,'Budget Dashboard'!$X:$X,0))=0,"",
   INDEX('Budget Dashboard'!$K:$K, MATCH(Investment_Header_Row + Calculations!O38,'Budget Dashboard'!$X:$X,0))))</f>
        <v/>
      </c>
    </row>
    <row r="39" spans="3:17" ht="15" thickBot="1" x14ac:dyDescent="0.35">
      <c r="C39" s="115">
        <v>6</v>
      </c>
      <c r="D39" s="115" t="e">
        <f ca="1">IF(E39="","","Other")</f>
        <v>#N/A</v>
      </c>
      <c r="E39" s="121" t="e">
        <f ca="1">IF(E40-SUM(E34:E38)=0,"",E40-SUM(E34:E38))</f>
        <v>#N/A</v>
      </c>
      <c r="G39" s="115">
        <v>6</v>
      </c>
      <c r="H39" s="115" t="str">
        <f>IF(I39="","","Other")</f>
        <v/>
      </c>
      <c r="I39" s="115" t="str" cm="1">
        <f t="array" ref="I39">IF(G39&gt;COUNTA(Fixkosten[]),"",
  IF(INDEX('Budget Dashboard'!$K:$K, MATCH(Fixkosten_Header_Row + Calculations!G39,'Budget Dashboard'!$X:$X,0))=0,"",
   INDEX('Budget Dashboard'!$K:$K, MATCH(Fixkosten_Header_Row + Calculations!G39,'Budget Dashboard'!$X:$X,0))))</f>
        <v/>
      </c>
      <c r="K39" s="115">
        <v>6</v>
      </c>
      <c r="L39" s="115" t="str">
        <f>IF(M39="","","Other")</f>
        <v/>
      </c>
      <c r="M39" s="115" t="str" cm="1">
        <f t="array" ref="M39">IF(K39&gt;COUNTA(Variablekosten[]),"",
  IF(INDEX('Budget Dashboard'!$K:$K, MATCH(Variablekosten_Header_Row + Calculations!K39,'Budget Dashboard'!$X:$X,0))=0,"",
   INDEX('Budget Dashboard'!$K:$K, MATCH(Variablekosten_Header_Row + Calculations!K39,'Budget Dashboard'!$X:$X,0))))</f>
        <v/>
      </c>
      <c r="O39" s="115">
        <v>6</v>
      </c>
      <c r="P39" s="115" t="str">
        <f>IF(Q39="","","Other")</f>
        <v/>
      </c>
      <c r="Q39" s="115" t="str" cm="1">
        <f t="array" ref="Q39">IF(O39&gt;COUNTA(Investment[]),"",
  IF(INDEX('Budget Dashboard'!$K:$K, MATCH(Investment_Header_Row + Calculations!O39,'Budget Dashboard'!$X:$X,0))=0,"",
   INDEX('Budget Dashboard'!$K:$K, MATCH(Investment_Header_Row + Calculations!O39,'Budget Dashboard'!$X:$X,0))))</f>
        <v/>
      </c>
    </row>
    <row r="40" spans="3:17" ht="15" thickTop="1" x14ac:dyDescent="0.3">
      <c r="C40" s="112"/>
      <c r="D40" s="113" t="s">
        <v>19</v>
      </c>
      <c r="E40" s="114" cm="1">
        <f t="array" aca="1" ref="E40" ca="1">INDEX('Budget Dashboard'!$K:$K, MATCH(Einkommen_Total_Row,'Budget Dashboard'!$X:$X,0))</f>
        <v>0</v>
      </c>
      <c r="G40" s="112"/>
      <c r="H40" s="113" t="s">
        <v>19</v>
      </c>
      <c r="I40" s="120" cm="1">
        <f t="array" aca="1" ref="I40" ca="1">INDEX('Budget Dashboard'!$K:$K, MATCH(Fixkosten_Total_Row,'Budget Dashboard'!$X:$X,0))</f>
        <v>0</v>
      </c>
      <c r="K40" s="112"/>
      <c r="L40" s="113" t="s">
        <v>19</v>
      </c>
      <c r="M40" s="114" cm="1">
        <f t="array" aca="1" ref="M40" ca="1">INDEX('Budget Dashboard'!$K:$K, MATCH(Variablekosten_Total_row,'Budget Dashboard'!$X:$X,0))</f>
        <v>0</v>
      </c>
      <c r="O40" s="112"/>
      <c r="P40" s="113" t="s">
        <v>19</v>
      </c>
      <c r="Q40" s="114" cm="1">
        <f t="array" aca="1" ref="Q40" ca="1">INDEX('Budget Dashboard'!$K:$K, MATCH(Investment_Total_Row,'Budget Dashboard'!$X:$X,0))</f>
        <v>0</v>
      </c>
    </row>
    <row r="43" spans="3:17" ht="43.2" x14ac:dyDescent="0.3">
      <c r="C43" s="128" t="s">
        <v>136</v>
      </c>
      <c r="D43" s="122"/>
      <c r="E43" s="122"/>
      <c r="F43" s="122"/>
      <c r="G43" s="122"/>
      <c r="H43" s="122"/>
      <c r="I43" s="122"/>
      <c r="J43" s="122"/>
      <c r="K43" s="122"/>
      <c r="L43" s="122"/>
      <c r="M43" s="122"/>
      <c r="N43" s="122"/>
      <c r="O43" s="122"/>
      <c r="P43" s="122"/>
      <c r="Q43" s="122"/>
    </row>
    <row r="44" spans="3:17" x14ac:dyDescent="0.3">
      <c r="C44" s="70"/>
      <c r="D44" s="70"/>
      <c r="E44" s="70"/>
      <c r="F44" s="70"/>
      <c r="G44" s="70"/>
      <c r="H44" s="70"/>
      <c r="I44" s="70"/>
      <c r="J44" s="70"/>
      <c r="K44" s="70"/>
      <c r="L44" s="70"/>
      <c r="M44" s="70"/>
      <c r="N44" s="70"/>
      <c r="O44" s="70"/>
      <c r="P44" s="70"/>
      <c r="Q44" s="70"/>
    </row>
    <row r="45" spans="3:17" x14ac:dyDescent="0.3">
      <c r="C45" s="72" t="s">
        <v>120</v>
      </c>
      <c r="D45" s="110" t="b">
        <v>1</v>
      </c>
      <c r="E45" s="70"/>
      <c r="F45" s="70"/>
      <c r="G45" s="70"/>
      <c r="H45" s="70"/>
      <c r="I45" s="70"/>
      <c r="J45" s="70"/>
      <c r="K45" s="70"/>
      <c r="L45" s="70"/>
      <c r="M45" s="70"/>
      <c r="N45" s="70"/>
      <c r="O45" s="70"/>
      <c r="P45" s="70"/>
      <c r="Q45" s="70"/>
    </row>
    <row r="46" spans="3:17" x14ac:dyDescent="0.3">
      <c r="C46" s="72" t="s">
        <v>137</v>
      </c>
      <c r="D46" s="110" t="b">
        <v>1</v>
      </c>
      <c r="E46" s="70"/>
      <c r="F46" s="70"/>
      <c r="G46" s="70"/>
      <c r="H46" s="70"/>
      <c r="I46" s="70"/>
      <c r="J46" s="70"/>
      <c r="K46" s="70"/>
      <c r="L46" s="70"/>
      <c r="M46" s="70"/>
      <c r="N46" s="70"/>
      <c r="O46" s="70"/>
      <c r="P46" s="70"/>
      <c r="Q46" s="70"/>
    </row>
    <row r="47" spans="3:17" x14ac:dyDescent="0.3">
      <c r="C47" s="72" t="s">
        <v>138</v>
      </c>
      <c r="D47" s="110" t="b">
        <v>1</v>
      </c>
      <c r="E47" s="70"/>
      <c r="F47" s="70"/>
      <c r="G47" s="70"/>
      <c r="H47" s="70"/>
      <c r="I47" s="70"/>
      <c r="J47" s="70"/>
      <c r="K47" s="70"/>
      <c r="L47" s="70"/>
      <c r="M47" s="70"/>
      <c r="N47" s="70"/>
      <c r="O47" s="70"/>
      <c r="P47" s="70"/>
      <c r="Q47" s="70"/>
    </row>
    <row r="48" spans="3:17" x14ac:dyDescent="0.3">
      <c r="C48" s="72" t="s">
        <v>121</v>
      </c>
      <c r="D48" s="110" t="b">
        <v>1</v>
      </c>
      <c r="E48" s="70"/>
      <c r="F48" s="70"/>
      <c r="G48" s="70"/>
      <c r="H48" s="70"/>
      <c r="I48" s="70"/>
      <c r="J48" s="70"/>
      <c r="K48" s="70"/>
      <c r="L48" s="70"/>
      <c r="M48" s="70"/>
      <c r="N48" s="70"/>
      <c r="O48" s="70"/>
      <c r="P48" s="70"/>
      <c r="Q48" s="70"/>
    </row>
    <row r="49" spans="3:33" x14ac:dyDescent="0.3">
      <c r="C49" s="72" t="s">
        <v>122</v>
      </c>
      <c r="D49" s="70" t="b">
        <v>1</v>
      </c>
      <c r="E49" s="70"/>
      <c r="F49" s="70"/>
      <c r="G49" s="70"/>
      <c r="H49" s="70"/>
      <c r="I49" s="70"/>
      <c r="J49" s="70"/>
      <c r="K49" s="70"/>
      <c r="L49" s="70"/>
      <c r="M49" s="70"/>
      <c r="N49" s="70"/>
      <c r="O49" s="70"/>
      <c r="P49" s="70"/>
      <c r="Q49" s="70"/>
    </row>
    <row r="50" spans="3:33" ht="28.8" x14ac:dyDescent="0.3">
      <c r="C50" s="70"/>
      <c r="D50" s="70"/>
      <c r="E50" s="70"/>
      <c r="F50" s="70"/>
      <c r="G50" s="70"/>
      <c r="H50" s="70"/>
      <c r="I50" s="70"/>
      <c r="J50" s="70"/>
      <c r="K50" s="70"/>
      <c r="L50" s="157" t="s">
        <v>123</v>
      </c>
      <c r="M50" s="157"/>
      <c r="N50" s="157"/>
      <c r="O50" s="158" t="s">
        <v>124</v>
      </c>
      <c r="P50" s="158"/>
      <c r="Q50" s="158"/>
      <c r="S50" s="128" t="s">
        <v>139</v>
      </c>
      <c r="T50" s="128"/>
      <c r="U50" s="128"/>
      <c r="V50" s="128"/>
      <c r="W50" s="128"/>
      <c r="X50" s="128"/>
      <c r="Y50" s="128"/>
      <c r="AA50" s="128" t="s">
        <v>145</v>
      </c>
      <c r="AB50" s="128"/>
      <c r="AC50" s="128"/>
      <c r="AD50" s="128"/>
      <c r="AE50" s="128"/>
      <c r="AF50" s="128"/>
      <c r="AG50" s="128"/>
    </row>
    <row r="51" spans="3:33" s="129" customFormat="1" x14ac:dyDescent="0.3">
      <c r="C51" s="123" t="s">
        <v>125</v>
      </c>
      <c r="D51" s="123" t="s">
        <v>47</v>
      </c>
      <c r="E51" s="123" t="s">
        <v>126</v>
      </c>
      <c r="F51" s="123" t="s">
        <v>127</v>
      </c>
      <c r="G51" s="123" t="s">
        <v>128</v>
      </c>
      <c r="H51" s="123" t="s">
        <v>129</v>
      </c>
      <c r="I51" s="123" t="s">
        <v>130</v>
      </c>
      <c r="J51" s="123" t="s">
        <v>131</v>
      </c>
      <c r="K51" s="123" t="s">
        <v>132</v>
      </c>
      <c r="L51" s="124" t="s">
        <v>133</v>
      </c>
      <c r="M51" s="123" t="s">
        <v>134</v>
      </c>
      <c r="N51" s="123" t="s">
        <v>135</v>
      </c>
      <c r="O51" s="124" t="s">
        <v>133</v>
      </c>
      <c r="P51" s="123" t="s">
        <v>134</v>
      </c>
      <c r="Q51" s="123" t="s">
        <v>135</v>
      </c>
      <c r="S51"/>
      <c r="T51"/>
      <c r="U51"/>
      <c r="V51"/>
      <c r="W51"/>
      <c r="X51"/>
      <c r="Y51"/>
    </row>
    <row r="52" spans="3:33" x14ac:dyDescent="0.3">
      <c r="C52" s="151">
        <f ca="1">DATE(selected_year,1,1)</f>
        <v>46023</v>
      </c>
      <c r="D52" s="110" t="s">
        <v>20</v>
      </c>
      <c r="E52" s="110">
        <f ca="1">MONTH(C52)</f>
        <v>1</v>
      </c>
      <c r="F52" s="110">
        <f ca="1">IF(selected_period="Jahresübersicht", 1, IF(selected_period=cc_month_number,1,0))</f>
        <v>0</v>
      </c>
      <c r="G52" s="110">
        <f>1*$D$45</f>
        <v>1</v>
      </c>
      <c r="H52" s="110">
        <f>1*$D$49</f>
        <v>1</v>
      </c>
      <c r="I52" s="125" cm="1">
        <f t="array" aca="1" ref="I52" ca="1">SUM(Tracking[Betrag]*(Tracking[Type]=cc_type)*(YEAR(Tracking[Effektiv Datum])=selected_year)*(MONTH(Tracking[Effektiv Datum])=cc_month_number))</f>
        <v>0</v>
      </c>
      <c r="J52" s="111" t="e" cm="1">
        <f t="array" aca="1" ref="J52" ca="1">INDEX('Budget Planning'!$E:$FA,Einkommen_Total_Row,MATCH(DATE(selected_year,cc_month_number,1),'Budget Planning'!$E$9:$FA$9,0))</f>
        <v>#N/A</v>
      </c>
      <c r="K52" s="111" t="e">
        <f ca="1">cc_budget-cc_tracked</f>
        <v>#N/A</v>
      </c>
      <c r="L52" s="126" t="e">
        <f ca="1">cc_in_focus * cc_show_type * MIN(cc_tracked,cc_budget)</f>
        <v>#N/A</v>
      </c>
      <c r="M52" s="126" t="e">
        <f ca="1">cc_in_focus * cc_show_type * cc_show_remaining_budget * IF(cc_delta&gt;0,cc_delta,0)</f>
        <v>#N/A</v>
      </c>
      <c r="N52" s="126" t="e">
        <f ca="1">cc_in_focus * cc_show_type * IF(cc_delta&lt;0,ABS(cc_delta),0)</f>
        <v>#N/A</v>
      </c>
      <c r="O52" s="126" t="e">
        <f ca="1">NOT(cc_in_focus) * cc_show_type * MIN(cc_tracked,cc_budget)</f>
        <v>#N/A</v>
      </c>
      <c r="P52" s="126" t="e">
        <f ca="1">NOT(cc_in_focus) * cc_show_type * cc_show_remaining_budget * IF(cc_delta&gt;0,cc_delta,0)</f>
        <v>#N/A</v>
      </c>
      <c r="Q52" s="126" t="e">
        <f ca="1">NOT(cc_in_focus) * cc_show_type * IF(cc_delta&lt;0,ABS(cc_delta),0)</f>
        <v>#N/A</v>
      </c>
      <c r="S52" s="133" t="e" cm="1">
        <f t="array" ref="S52">_xlfn.PIVOTBY(YEAR(Tracking[Datum]), Tracking[Type], Tracking[Betrag], _xleta.SUM, , , , ,)</f>
        <v>#VALUE!</v>
      </c>
      <c r="T52" s="133"/>
      <c r="U52" s="133"/>
      <c r="V52" s="133"/>
      <c r="W52" s="133"/>
      <c r="X52" s="133"/>
      <c r="Y52" s="133"/>
      <c r="AA52" s="138" t="s">
        <v>47</v>
      </c>
      <c r="AB52" t="s">
        <v>148</v>
      </c>
    </row>
    <row r="53" spans="3:33" x14ac:dyDescent="0.3">
      <c r="C53" s="152"/>
      <c r="D53" s="110" t="s">
        <v>24</v>
      </c>
      <c r="E53" s="110">
        <f ca="1">MONTH(C52)</f>
        <v>1</v>
      </c>
      <c r="F53" s="110">
        <f ca="1">IF(selected_period="Jahresübersicht", 1, IF(selected_period=cc_month_number,1,0))</f>
        <v>0</v>
      </c>
      <c r="G53" s="110">
        <f>1*$D$46</f>
        <v>1</v>
      </c>
      <c r="H53" s="110">
        <f t="shared" ref="H53:H55" si="0">1*$D$49</f>
        <v>1</v>
      </c>
      <c r="I53" s="125" cm="1">
        <f t="array" aca="1" ref="I53" ca="1">SUM(Tracking[Betrag]*(Tracking[Type]=cc_type)*(YEAR(Tracking[Effektiv Datum])=selected_year)*(MONTH(Tracking[Effektiv Datum])=cc_month_number))</f>
        <v>0</v>
      </c>
      <c r="J53" s="111" t="e" cm="1">
        <f t="array" aca="1" ref="J53" ca="1">INDEX('Budget Planning'!$E:$FA,Fixkosten_Total_Row,MATCH(DATE(selected_year,cc_month_number,1),'Budget Planning'!$E$9:$FA$9,0))</f>
        <v>#N/A</v>
      </c>
      <c r="K53" s="111" t="e">
        <f ca="1">cc_budget-cc_tracked</f>
        <v>#N/A</v>
      </c>
      <c r="L53" s="126" t="e">
        <f ca="1">cc_in_focus * cc_show_type * MIN(cc_tracked,cc_budget)</f>
        <v>#N/A</v>
      </c>
      <c r="M53" s="126" t="e">
        <f ca="1">cc_in_focus * cc_show_type * cc_show_remaining_budget * IF(cc_delta&gt;0,cc_delta,0)</f>
        <v>#N/A</v>
      </c>
      <c r="N53" s="126" t="e">
        <f ca="1">cc_in_focus * cc_show_type * IF(cc_delta&lt;0,ABS(cc_delta),0)</f>
        <v>#N/A</v>
      </c>
      <c r="O53" s="126" t="e">
        <f ca="1">NOT(cc_in_focus) * cc_show_type * MIN(cc_tracked,cc_budget)</f>
        <v>#N/A</v>
      </c>
      <c r="P53" s="126" t="e">
        <f ca="1">NOT(cc_in_focus) * cc_show_type * cc_show_remaining_budget * IF(cc_delta&gt;0,cc_delta,0)</f>
        <v>#N/A</v>
      </c>
      <c r="Q53" s="126" t="e">
        <f ca="1">NOT(cc_in_focus) * cc_show_type * IF(cc_delta&lt;0,ABS(cc_delta),0)</f>
        <v>#N/A</v>
      </c>
      <c r="T53" s="54"/>
      <c r="U53" s="54"/>
      <c r="V53" s="54"/>
      <c r="W53" s="54"/>
      <c r="X53" s="54"/>
      <c r="Y53" s="54"/>
      <c r="AA53" s="129"/>
      <c r="AB53" s="129"/>
    </row>
    <row r="54" spans="3:33" x14ac:dyDescent="0.3">
      <c r="C54" s="152"/>
      <c r="D54" s="110" t="s">
        <v>27</v>
      </c>
      <c r="E54" s="110">
        <f ca="1">MONTH(C52)</f>
        <v>1</v>
      </c>
      <c r="F54" s="110">
        <f ca="1">IF(selected_period="Jahresübersicht", 1, IF(selected_period=cc_month_number,1,0))</f>
        <v>0</v>
      </c>
      <c r="G54" s="110">
        <f>1*$D$47</f>
        <v>1</v>
      </c>
      <c r="H54" s="110">
        <f t="shared" si="0"/>
        <v>1</v>
      </c>
      <c r="I54" s="125" cm="1">
        <f t="array" aca="1" ref="I54" ca="1">SUM(Tracking[Betrag]*(Tracking[Type]=cc_type)*(YEAR(Tracking[Effektiv Datum])=selected_year)*(MONTH(Tracking[Effektiv Datum])=cc_month_number))</f>
        <v>0</v>
      </c>
      <c r="J54" s="111" t="e" cm="1">
        <f t="array" aca="1" ref="J54" ca="1">INDEX('Budget Planning'!$E:$FA,Variablekosten_Total_row,MATCH(DATE(selected_year,cc_month_number,1),'Budget Planning'!$E$9:$FA$9,0))</f>
        <v>#N/A</v>
      </c>
      <c r="K54" s="111" t="e">
        <f ca="1">cc_budget-cc_tracked</f>
        <v>#N/A</v>
      </c>
      <c r="L54" s="126" t="e">
        <f ca="1">cc_in_focus * cc_show_type * MIN(cc_tracked,cc_budget)</f>
        <v>#N/A</v>
      </c>
      <c r="M54" s="126" t="e">
        <f ca="1">cc_in_focus * cc_show_type * cc_show_remaining_budget * IF(cc_delta&gt;0,cc_delta,0)</f>
        <v>#N/A</v>
      </c>
      <c r="N54" s="126" t="e">
        <f ca="1">cc_in_focus * cc_show_type * IF(cc_delta&lt;0,ABS(cc_delta),0)</f>
        <v>#N/A</v>
      </c>
      <c r="O54" s="126" t="e">
        <f ca="1">NOT(cc_in_focus) * cc_show_type * MIN(cc_tracked,cc_budget)</f>
        <v>#N/A</v>
      </c>
      <c r="P54" s="126" t="e">
        <f ca="1">NOT(cc_in_focus) * cc_show_type * cc_show_remaining_budget * IF(cc_delta&gt;0,cc_delta,0)</f>
        <v>#N/A</v>
      </c>
      <c r="Q54" s="126" t="e">
        <f ca="1">NOT(cc_in_focus) * cc_show_type * IF(cc_delta&lt;0,ABS(cc_delta),0)</f>
        <v>#N/A</v>
      </c>
      <c r="T54" s="54"/>
      <c r="U54" s="54"/>
      <c r="V54" s="54"/>
      <c r="W54" s="54"/>
      <c r="X54" s="54"/>
      <c r="Y54" s="54"/>
      <c r="AA54" s="138" t="s">
        <v>140</v>
      </c>
      <c r="AB54" t="s">
        <v>142</v>
      </c>
    </row>
    <row r="55" spans="3:33" x14ac:dyDescent="0.3">
      <c r="C55" s="152"/>
      <c r="D55" s="110" t="s">
        <v>29</v>
      </c>
      <c r="E55" s="110">
        <f ca="1">MONTH(C52)</f>
        <v>1</v>
      </c>
      <c r="F55" s="110">
        <f ca="1">IF(selected_period="Jahresübersicht", 1, IF(selected_period=cc_month_number,1,0))</f>
        <v>0</v>
      </c>
      <c r="G55" s="110">
        <f>1*$D$48</f>
        <v>1</v>
      </c>
      <c r="H55" s="110">
        <f t="shared" si="0"/>
        <v>1</v>
      </c>
      <c r="I55" s="125" cm="1">
        <f t="array" aca="1" ref="I55" ca="1">SUM(Tracking[Betrag]*(Tracking[Type]=cc_type)*(YEAR(Tracking[Effektiv Datum])=selected_year)*(MONTH(Tracking[Effektiv Datum])=cc_month_number))</f>
        <v>0</v>
      </c>
      <c r="J55" s="111" t="e" cm="1">
        <f t="array" aca="1" ref="J55" ca="1">INDEX('Budget Planning'!$E:$FA,Investment_Total_Row,MATCH(DATE(selected_year,cc_month_number,1),'Budget Planning'!$E$9:$FA$9,0))</f>
        <v>#N/A</v>
      </c>
      <c r="K55" s="111" t="e">
        <f ca="1">cc_budget-cc_tracked</f>
        <v>#N/A</v>
      </c>
      <c r="L55" s="126" t="e">
        <f ca="1">cc_in_focus * cc_show_type * MIN(cc_tracked,cc_budget)</f>
        <v>#N/A</v>
      </c>
      <c r="M55" s="126" t="e">
        <f ca="1">cc_in_focus * cc_show_type * cc_show_remaining_budget * IF(cc_delta&gt;0,cc_delta,0)</f>
        <v>#N/A</v>
      </c>
      <c r="N55" s="126" t="e">
        <f ca="1">cc_in_focus * cc_show_type * IF(cc_delta&lt;0,ABS(cc_delta),0)</f>
        <v>#N/A</v>
      </c>
      <c r="O55" s="126" t="e">
        <f ca="1">NOT(cc_in_focus) * cc_show_type * MIN(cc_tracked,cc_budget)</f>
        <v>#N/A</v>
      </c>
      <c r="P55" s="126" t="e">
        <f ca="1">NOT(cc_in_focus) * cc_show_type * cc_show_remaining_budget * IF(cc_delta&gt;0,cc_delta,0)</f>
        <v>#N/A</v>
      </c>
      <c r="Q55" s="126" t="e">
        <f ca="1">NOT(cc_in_focus) * cc_show_type * IF(cc_delta&lt;0,ABS(cc_delta),0)</f>
        <v>#N/A</v>
      </c>
      <c r="T55" s="54"/>
      <c r="U55" s="54"/>
      <c r="V55" s="54"/>
      <c r="W55" s="54"/>
      <c r="X55" s="54"/>
      <c r="Y55" s="54"/>
      <c r="AA55" s="141" t="s">
        <v>141</v>
      </c>
      <c r="AB55" s="173"/>
    </row>
    <row r="56" spans="3:33" x14ac:dyDescent="0.3">
      <c r="C56" s="152"/>
      <c r="D56" s="127"/>
      <c r="E56" s="127"/>
      <c r="F56" s="127"/>
      <c r="G56" s="127"/>
      <c r="H56" s="127"/>
      <c r="I56" s="127"/>
      <c r="J56" s="127"/>
      <c r="K56" s="127"/>
      <c r="L56" s="127"/>
      <c r="M56" s="127"/>
      <c r="N56" s="127"/>
      <c r="O56" s="127"/>
      <c r="P56" s="127"/>
      <c r="Q56" s="127"/>
      <c r="T56" s="54"/>
      <c r="U56" s="54"/>
      <c r="V56" s="54"/>
      <c r="W56" s="54"/>
      <c r="X56" s="54"/>
      <c r="Y56" s="54"/>
    </row>
    <row r="57" spans="3:33" x14ac:dyDescent="0.3">
      <c r="C57" s="151">
        <f ca="1">DATE(selected_year,2,1)</f>
        <v>46054</v>
      </c>
      <c r="D57" s="110" t="s">
        <v>20</v>
      </c>
      <c r="E57" s="110">
        <f t="shared" ref="E57" ca="1" si="1">MONTH(C57)</f>
        <v>2</v>
      </c>
      <c r="F57" s="110">
        <f ca="1">IF(selected_period="Jahresübersicht", 1, IF(selected_period=cc_month_number,1,0))</f>
        <v>0</v>
      </c>
      <c r="G57" s="110">
        <f t="shared" ref="G57" si="2">1*$D$45</f>
        <v>1</v>
      </c>
      <c r="H57" s="110">
        <f t="shared" ref="H57:H110" si="3">1*$D$49</f>
        <v>1</v>
      </c>
      <c r="I57" s="125" cm="1">
        <f t="array" aca="1" ref="I57" ca="1">SUM(Tracking[Betrag]*(Tracking[Type]=cc_type)*(YEAR(Tracking[Effektiv Datum])=selected_year)*(MONTH(Tracking[Effektiv Datum])=cc_month_number))</f>
        <v>0</v>
      </c>
      <c r="J57" s="111" t="e" cm="1">
        <f t="array" aca="1" ref="J57" ca="1">INDEX('Budget Planning'!$E:$FA,Einkommen_Total_Row,MATCH(DATE(selected_year,cc_month_number,1),'Budget Planning'!$E$9:$FA$9,0))</f>
        <v>#N/A</v>
      </c>
      <c r="K57" s="111" t="e">
        <f ca="1">cc_budget-cc_tracked</f>
        <v>#N/A</v>
      </c>
      <c r="L57" s="126" t="e">
        <f ca="1">cc_in_focus * cc_show_type * MIN(cc_tracked,cc_budget)</f>
        <v>#N/A</v>
      </c>
      <c r="M57" s="126" t="e">
        <f ca="1">cc_in_focus * cc_show_type * cc_show_remaining_budget * IF(cc_delta&gt;0,cc_delta,0)</f>
        <v>#N/A</v>
      </c>
      <c r="N57" s="126" t="e">
        <f ca="1">cc_in_focus * cc_show_type * IF(cc_delta&lt;0,ABS(cc_delta),0)</f>
        <v>#N/A</v>
      </c>
      <c r="O57" s="126" t="e">
        <f ca="1">NOT(cc_in_focus) * cc_show_type * MIN(cc_tracked,cc_budget)</f>
        <v>#N/A</v>
      </c>
      <c r="P57" s="126" t="e">
        <f ca="1">NOT(cc_in_focus) * cc_show_type * cc_show_remaining_budget * IF(cc_delta&gt;0,cc_delta,0)</f>
        <v>#N/A</v>
      </c>
      <c r="Q57" s="126" t="e">
        <f ca="1">NOT(cc_in_focus) * cc_show_type * IF(cc_delta&lt;0,ABS(cc_delta),0)</f>
        <v>#N/A</v>
      </c>
      <c r="T57" s="54"/>
      <c r="U57" s="54"/>
      <c r="V57" s="54"/>
      <c r="W57" s="54"/>
      <c r="X57" s="54"/>
      <c r="Y57" s="54"/>
    </row>
    <row r="58" spans="3:33" x14ac:dyDescent="0.3">
      <c r="C58" s="152"/>
      <c r="D58" s="110" t="s">
        <v>24</v>
      </c>
      <c r="E58" s="110">
        <f t="shared" ref="E58" ca="1" si="4">MONTH(C57)</f>
        <v>2</v>
      </c>
      <c r="F58" s="110">
        <f ca="1">IF(selected_period="Jahresübersicht", 1, IF(selected_period=cc_month_number,1,0))</f>
        <v>0</v>
      </c>
      <c r="G58" s="110">
        <f t="shared" ref="G58" si="5">1*$D$46</f>
        <v>1</v>
      </c>
      <c r="H58" s="110">
        <f t="shared" si="3"/>
        <v>1</v>
      </c>
      <c r="I58" s="125" cm="1">
        <f t="array" aca="1" ref="I58" ca="1">SUM(Tracking[Betrag]*(Tracking[Type]=cc_type)*(YEAR(Tracking[Effektiv Datum])=selected_year)*(MONTH(Tracking[Effektiv Datum])=cc_month_number))</f>
        <v>0</v>
      </c>
      <c r="J58" s="111" t="e" cm="1">
        <f t="array" aca="1" ref="J58" ca="1">INDEX('Budget Planning'!$E:$FA,Fixkosten_Total_Row,MATCH(DATE(selected_year,cc_month_number,1),'Budget Planning'!$E$9:$FA$9,0))</f>
        <v>#N/A</v>
      </c>
      <c r="K58" s="111" t="e">
        <f ca="1">cc_budget-cc_tracked</f>
        <v>#N/A</v>
      </c>
      <c r="L58" s="126" t="e">
        <f ca="1">cc_in_focus * cc_show_type * MIN(cc_tracked,cc_budget)</f>
        <v>#N/A</v>
      </c>
      <c r="M58" s="126" t="e">
        <f ca="1">cc_in_focus * cc_show_type * cc_show_remaining_budget * IF(cc_delta&gt;0,cc_delta,0)</f>
        <v>#N/A</v>
      </c>
      <c r="N58" s="126" t="e">
        <f ca="1">cc_in_focus * cc_show_type * IF(cc_delta&lt;0,ABS(cc_delta),0)</f>
        <v>#N/A</v>
      </c>
      <c r="O58" s="126" t="e">
        <f ca="1">NOT(cc_in_focus) * cc_show_type * MIN(cc_tracked,cc_budget)</f>
        <v>#N/A</v>
      </c>
      <c r="P58" s="126" t="e">
        <f ca="1">NOT(cc_in_focus) * cc_show_type * cc_show_remaining_budget * IF(cc_delta&gt;0,cc_delta,0)</f>
        <v>#N/A</v>
      </c>
      <c r="Q58" s="126" t="e">
        <f ca="1">NOT(cc_in_focus) * cc_show_type * IF(cc_delta&lt;0,ABS(cc_delta),0)</f>
        <v>#N/A</v>
      </c>
      <c r="T58" s="54"/>
      <c r="U58" s="54"/>
      <c r="V58" s="54"/>
      <c r="W58" s="54"/>
      <c r="X58" s="54"/>
      <c r="Y58" s="54"/>
    </row>
    <row r="59" spans="3:33" x14ac:dyDescent="0.3">
      <c r="C59" s="152"/>
      <c r="D59" s="110" t="s">
        <v>27</v>
      </c>
      <c r="E59" s="110">
        <f t="shared" ref="E59" ca="1" si="6">MONTH(C57)</f>
        <v>2</v>
      </c>
      <c r="F59" s="110">
        <f ca="1">IF(selected_period="Jahresübersicht", 1, IF(selected_period=cc_month_number,1,0))</f>
        <v>0</v>
      </c>
      <c r="G59" s="110">
        <f t="shared" ref="G59" si="7">1*$D$47</f>
        <v>1</v>
      </c>
      <c r="H59" s="110">
        <f t="shared" si="3"/>
        <v>1</v>
      </c>
      <c r="I59" s="125" cm="1">
        <f t="array" aca="1" ref="I59" ca="1">SUM(Tracking[Betrag]*(Tracking[Type]=cc_type)*(YEAR(Tracking[Effektiv Datum])=selected_year)*(MONTH(Tracking[Effektiv Datum])=cc_month_number))</f>
        <v>0</v>
      </c>
      <c r="J59" s="111" t="e" cm="1">
        <f t="array" aca="1" ref="J59" ca="1">INDEX('Budget Planning'!$E:$FA,Variablekosten_Total_row,MATCH(DATE(selected_year,cc_month_number,1),'Budget Planning'!$E$9:$FA$9,0))</f>
        <v>#N/A</v>
      </c>
      <c r="K59" s="111" t="e">
        <f ca="1">cc_budget-cc_tracked</f>
        <v>#N/A</v>
      </c>
      <c r="L59" s="126" t="e">
        <f ca="1">cc_in_focus * cc_show_type * MIN(cc_tracked,cc_budget)</f>
        <v>#N/A</v>
      </c>
      <c r="M59" s="126" t="e">
        <f ca="1">cc_in_focus * cc_show_type * cc_show_remaining_budget * IF(cc_delta&gt;0,cc_delta,0)</f>
        <v>#N/A</v>
      </c>
      <c r="N59" s="126" t="e">
        <f ca="1">cc_in_focus * cc_show_type * IF(cc_delta&lt;0,ABS(cc_delta),0)</f>
        <v>#N/A</v>
      </c>
      <c r="O59" s="126" t="e">
        <f ca="1">NOT(cc_in_focus) * cc_show_type * MIN(cc_tracked,cc_budget)</f>
        <v>#N/A</v>
      </c>
      <c r="P59" s="126" t="e">
        <f ca="1">NOT(cc_in_focus) * cc_show_type * cc_show_remaining_budget * IF(cc_delta&gt;0,cc_delta,0)</f>
        <v>#N/A</v>
      </c>
      <c r="Q59" s="126" t="e">
        <f ca="1">NOT(cc_in_focus) * cc_show_type * IF(cc_delta&lt;0,ABS(cc_delta),0)</f>
        <v>#N/A</v>
      </c>
    </row>
    <row r="60" spans="3:33" x14ac:dyDescent="0.3">
      <c r="C60" s="152"/>
      <c r="D60" s="110" t="s">
        <v>29</v>
      </c>
      <c r="E60" s="110">
        <f t="shared" ref="E60" ca="1" si="8">MONTH(C57)</f>
        <v>2</v>
      </c>
      <c r="F60" s="110">
        <f ca="1">IF(selected_period="Jahresübersicht", 1, IF(selected_period=cc_month_number,1,0))</f>
        <v>0</v>
      </c>
      <c r="G60" s="110">
        <f t="shared" ref="G60" si="9">1*$D$48</f>
        <v>1</v>
      </c>
      <c r="H60" s="110">
        <f t="shared" si="3"/>
        <v>1</v>
      </c>
      <c r="I60" s="125" cm="1">
        <f t="array" aca="1" ref="I60" ca="1">SUM(Tracking[Betrag]*(Tracking[Type]=cc_type)*(YEAR(Tracking[Effektiv Datum])=selected_year)*(MONTH(Tracking[Effektiv Datum])=cc_month_number))</f>
        <v>0</v>
      </c>
      <c r="J60" s="111" t="e" cm="1">
        <f t="array" aca="1" ref="J60" ca="1">INDEX('Budget Planning'!$E:$FA,Investment_Total_Row,MATCH(DATE(selected_year,cc_month_number,1),'Budget Planning'!$E$9:$FA$9,0))</f>
        <v>#N/A</v>
      </c>
      <c r="K60" s="111" t="e">
        <f ca="1">cc_budget-cc_tracked</f>
        <v>#N/A</v>
      </c>
      <c r="L60" s="126" t="e">
        <f ca="1">cc_in_focus * cc_show_type * MIN(cc_tracked,cc_budget)</f>
        <v>#N/A</v>
      </c>
      <c r="M60" s="126" t="e">
        <f ca="1">cc_in_focus * cc_show_type * cc_show_remaining_budget * IF(cc_delta&gt;0,cc_delta,0)</f>
        <v>#N/A</v>
      </c>
      <c r="N60" s="126" t="e">
        <f ca="1">cc_in_focus * cc_show_type * IF(cc_delta&lt;0,ABS(cc_delta),0)</f>
        <v>#N/A</v>
      </c>
      <c r="O60" s="126" t="e">
        <f ca="1">NOT(cc_in_focus) * cc_show_type * MIN(cc_tracked,cc_budget)</f>
        <v>#N/A</v>
      </c>
      <c r="P60" s="126" t="e">
        <f ca="1">NOT(cc_in_focus) * cc_show_type * cc_show_remaining_budget * IF(cc_delta&gt;0,cc_delta,0)</f>
        <v>#N/A</v>
      </c>
      <c r="Q60" s="126" t="e">
        <f ca="1">NOT(cc_in_focus) * cc_show_type * IF(cc_delta&lt;0,ABS(cc_delta),0)</f>
        <v>#N/A</v>
      </c>
    </row>
    <row r="61" spans="3:33" x14ac:dyDescent="0.3">
      <c r="C61" s="152"/>
      <c r="D61" s="127"/>
      <c r="E61" s="127"/>
      <c r="F61" s="127"/>
      <c r="G61" s="127"/>
      <c r="H61" s="127"/>
      <c r="I61" s="127"/>
      <c r="J61" s="127"/>
      <c r="K61" s="127"/>
      <c r="L61" s="127"/>
      <c r="M61" s="127"/>
      <c r="N61" s="127"/>
      <c r="O61" s="127"/>
      <c r="P61" s="127"/>
      <c r="Q61" s="127"/>
    </row>
    <row r="62" spans="3:33" x14ac:dyDescent="0.3">
      <c r="C62" s="151">
        <f ca="1">DATE(selected_year,3,1)</f>
        <v>46082</v>
      </c>
      <c r="D62" s="110" t="s">
        <v>20</v>
      </c>
      <c r="E62" s="110">
        <f t="shared" ref="E62" ca="1" si="10">MONTH(C62)</f>
        <v>3</v>
      </c>
      <c r="F62" s="110">
        <f ca="1">IF(selected_period="Jahresübersicht", 1, IF(selected_period=cc_month_number,1,0))</f>
        <v>1</v>
      </c>
      <c r="G62" s="110">
        <f t="shared" ref="G62" si="11">1*$D$45</f>
        <v>1</v>
      </c>
      <c r="H62" s="110">
        <f t="shared" ref="H62" si="12">1*$D$49</f>
        <v>1</v>
      </c>
      <c r="I62" s="125" cm="1">
        <f t="array" aca="1" ref="I62" ca="1">SUM(Tracking[Betrag]*(Tracking[Type]=cc_type)*(YEAR(Tracking[Effektiv Datum])=selected_year)*(MONTH(Tracking[Effektiv Datum])=cc_month_number))</f>
        <v>0</v>
      </c>
      <c r="J62" s="111" t="e" cm="1">
        <f t="array" aca="1" ref="J62" ca="1">INDEX('Budget Planning'!$E:$FA,Einkommen_Total_Row,MATCH(DATE(selected_year,cc_month_number,1),'Budget Planning'!$E$9:$FA$9,0))</f>
        <v>#N/A</v>
      </c>
      <c r="K62" s="111" t="e">
        <f ca="1">cc_budget-cc_tracked</f>
        <v>#N/A</v>
      </c>
      <c r="L62" s="126" t="e">
        <f ca="1">cc_in_focus * cc_show_type * MIN(cc_tracked,cc_budget)</f>
        <v>#N/A</v>
      </c>
      <c r="M62" s="126" t="e">
        <f ca="1">cc_in_focus * cc_show_type * cc_show_remaining_budget * IF(cc_delta&gt;0,cc_delta,0)</f>
        <v>#N/A</v>
      </c>
      <c r="N62" s="126" t="e">
        <f ca="1">cc_in_focus * cc_show_type * IF(cc_delta&lt;0,ABS(cc_delta),0)</f>
        <v>#N/A</v>
      </c>
      <c r="O62" s="126" t="e">
        <f ca="1">NOT(cc_in_focus) * cc_show_type * MIN(cc_tracked,cc_budget)</f>
        <v>#N/A</v>
      </c>
      <c r="P62" s="126" t="e">
        <f ca="1">NOT(cc_in_focus) * cc_show_type * cc_show_remaining_budget * IF(cc_delta&gt;0,cc_delta,0)</f>
        <v>#N/A</v>
      </c>
      <c r="Q62" s="126" t="e">
        <f ca="1">NOT(cc_in_focus) * cc_show_type * IF(cc_delta&lt;0,ABS(cc_delta),0)</f>
        <v>#N/A</v>
      </c>
    </row>
    <row r="63" spans="3:33" x14ac:dyDescent="0.3">
      <c r="C63" s="152"/>
      <c r="D63" s="110" t="s">
        <v>24</v>
      </c>
      <c r="E63" s="110">
        <f t="shared" ref="E63" ca="1" si="13">MONTH(C62)</f>
        <v>3</v>
      </c>
      <c r="F63" s="110">
        <f ca="1">IF(selected_period="Jahresübersicht", 1, IF(selected_period=cc_month_number,1,0))</f>
        <v>1</v>
      </c>
      <c r="G63" s="110">
        <f t="shared" ref="G63" si="14">1*$D$46</f>
        <v>1</v>
      </c>
      <c r="H63" s="110">
        <f t="shared" si="3"/>
        <v>1</v>
      </c>
      <c r="I63" s="125" cm="1">
        <f t="array" aca="1" ref="I63" ca="1">SUM(Tracking[Betrag]*(Tracking[Type]=cc_type)*(YEAR(Tracking[Effektiv Datum])=selected_year)*(MONTH(Tracking[Effektiv Datum])=cc_month_number))</f>
        <v>0</v>
      </c>
      <c r="J63" s="111" t="e" cm="1">
        <f t="array" aca="1" ref="J63" ca="1">INDEX('Budget Planning'!$E:$FA,Fixkosten_Total_Row,MATCH(DATE(selected_year,cc_month_number,1),'Budget Planning'!$E$9:$FA$9,0))</f>
        <v>#N/A</v>
      </c>
      <c r="K63" s="111" t="e">
        <f ca="1">cc_budget-cc_tracked</f>
        <v>#N/A</v>
      </c>
      <c r="L63" s="126" t="e">
        <f ca="1">cc_in_focus * cc_show_type * MIN(cc_tracked,cc_budget)</f>
        <v>#N/A</v>
      </c>
      <c r="M63" s="126" t="e">
        <f ca="1">cc_in_focus * cc_show_type * cc_show_remaining_budget * IF(cc_delta&gt;0,cc_delta,0)</f>
        <v>#N/A</v>
      </c>
      <c r="N63" s="126" t="e">
        <f ca="1">cc_in_focus * cc_show_type * IF(cc_delta&lt;0,ABS(cc_delta),0)</f>
        <v>#N/A</v>
      </c>
      <c r="O63" s="126" t="e">
        <f ca="1">NOT(cc_in_focus) * cc_show_type * MIN(cc_tracked,cc_budget)</f>
        <v>#N/A</v>
      </c>
      <c r="P63" s="126" t="e">
        <f ca="1">NOT(cc_in_focus) * cc_show_type * cc_show_remaining_budget * IF(cc_delta&gt;0,cc_delta,0)</f>
        <v>#N/A</v>
      </c>
      <c r="Q63" s="126" t="e">
        <f ca="1">NOT(cc_in_focus) * cc_show_type * IF(cc_delta&lt;0,ABS(cc_delta),0)</f>
        <v>#N/A</v>
      </c>
    </row>
    <row r="64" spans="3:33" x14ac:dyDescent="0.3">
      <c r="C64" s="152"/>
      <c r="D64" s="110" t="s">
        <v>27</v>
      </c>
      <c r="E64" s="110">
        <f t="shared" ref="E64" ca="1" si="15">MONTH(C62)</f>
        <v>3</v>
      </c>
      <c r="F64" s="110">
        <f ca="1">IF(selected_period="Jahresübersicht", 1, IF(selected_period=cc_month_number,1,0))</f>
        <v>1</v>
      </c>
      <c r="G64" s="110">
        <f t="shared" ref="G64" si="16">1*$D$47</f>
        <v>1</v>
      </c>
      <c r="H64" s="110">
        <f t="shared" si="3"/>
        <v>1</v>
      </c>
      <c r="I64" s="125" cm="1">
        <f t="array" aca="1" ref="I64" ca="1">SUM(Tracking[Betrag]*(Tracking[Type]=cc_type)*(YEAR(Tracking[Effektiv Datum])=selected_year)*(MONTH(Tracking[Effektiv Datum])=cc_month_number))</f>
        <v>0</v>
      </c>
      <c r="J64" s="111" t="e" cm="1">
        <f t="array" aca="1" ref="J64" ca="1">INDEX('Budget Planning'!$E:$FA,Variablekosten_Total_row,MATCH(DATE(selected_year,cc_month_number,1),'Budget Planning'!$E$9:$FA$9,0))</f>
        <v>#N/A</v>
      </c>
      <c r="K64" s="111" t="e">
        <f ca="1">cc_budget-cc_tracked</f>
        <v>#N/A</v>
      </c>
      <c r="L64" s="126" t="e">
        <f ca="1">cc_in_focus * cc_show_type * MIN(cc_tracked,cc_budget)</f>
        <v>#N/A</v>
      </c>
      <c r="M64" s="126" t="e">
        <f ca="1">cc_in_focus * cc_show_type * cc_show_remaining_budget * IF(cc_delta&gt;0,cc_delta,0)</f>
        <v>#N/A</v>
      </c>
      <c r="N64" s="126" t="e">
        <f ca="1">cc_in_focus * cc_show_type * IF(cc_delta&lt;0,ABS(cc_delta),0)</f>
        <v>#N/A</v>
      </c>
      <c r="O64" s="126" t="e">
        <f ca="1">NOT(cc_in_focus) * cc_show_type * MIN(cc_tracked,cc_budget)</f>
        <v>#N/A</v>
      </c>
      <c r="P64" s="126" t="e">
        <f ca="1">NOT(cc_in_focus) * cc_show_type * cc_show_remaining_budget * IF(cc_delta&gt;0,cc_delta,0)</f>
        <v>#N/A</v>
      </c>
      <c r="Q64" s="126" t="e">
        <f ca="1">NOT(cc_in_focus) * cc_show_type * IF(cc_delta&lt;0,ABS(cc_delta),0)</f>
        <v>#N/A</v>
      </c>
    </row>
    <row r="65" spans="3:17" x14ac:dyDescent="0.3">
      <c r="C65" s="152"/>
      <c r="D65" s="110" t="s">
        <v>29</v>
      </c>
      <c r="E65" s="110">
        <f t="shared" ref="E65" ca="1" si="17">MONTH(C62)</f>
        <v>3</v>
      </c>
      <c r="F65" s="110">
        <f ca="1">IF(selected_period="Jahresübersicht", 1, IF(selected_period=cc_month_number,1,0))</f>
        <v>1</v>
      </c>
      <c r="G65" s="110">
        <f t="shared" ref="G65" si="18">1*$D$48</f>
        <v>1</v>
      </c>
      <c r="H65" s="110">
        <f t="shared" si="3"/>
        <v>1</v>
      </c>
      <c r="I65" s="125" cm="1">
        <f t="array" aca="1" ref="I65" ca="1">SUM(Tracking[Betrag]*(Tracking[Type]=cc_type)*(YEAR(Tracking[Effektiv Datum])=selected_year)*(MONTH(Tracking[Effektiv Datum])=cc_month_number))</f>
        <v>0</v>
      </c>
      <c r="J65" s="111" t="e" cm="1">
        <f t="array" aca="1" ref="J65" ca="1">INDEX('Budget Planning'!$E:$FA,Investment_Total_Row,MATCH(DATE(selected_year,cc_month_number,1),'Budget Planning'!$E$9:$FA$9,0))</f>
        <v>#N/A</v>
      </c>
      <c r="K65" s="111" t="e">
        <f ca="1">cc_budget-cc_tracked</f>
        <v>#N/A</v>
      </c>
      <c r="L65" s="126" t="e">
        <f ca="1">cc_in_focus * cc_show_type * MIN(cc_tracked,cc_budget)</f>
        <v>#N/A</v>
      </c>
      <c r="M65" s="126" t="e">
        <f ca="1">cc_in_focus * cc_show_type * cc_show_remaining_budget * IF(cc_delta&gt;0,cc_delta,0)</f>
        <v>#N/A</v>
      </c>
      <c r="N65" s="126" t="e">
        <f ca="1">cc_in_focus * cc_show_type * IF(cc_delta&lt;0,ABS(cc_delta),0)</f>
        <v>#N/A</v>
      </c>
      <c r="O65" s="126" t="e">
        <f ca="1">NOT(cc_in_focus) * cc_show_type * MIN(cc_tracked,cc_budget)</f>
        <v>#N/A</v>
      </c>
      <c r="P65" s="126" t="e">
        <f ca="1">NOT(cc_in_focus) * cc_show_type * cc_show_remaining_budget * IF(cc_delta&gt;0,cc_delta,0)</f>
        <v>#N/A</v>
      </c>
      <c r="Q65" s="126" t="e">
        <f ca="1">NOT(cc_in_focus) * cc_show_type * IF(cc_delta&lt;0,ABS(cc_delta),0)</f>
        <v>#N/A</v>
      </c>
    </row>
    <row r="66" spans="3:17" x14ac:dyDescent="0.3">
      <c r="C66" s="152"/>
      <c r="D66" s="127"/>
      <c r="E66" s="127"/>
      <c r="F66" s="127"/>
      <c r="G66" s="127"/>
      <c r="H66" s="127"/>
      <c r="I66" s="127"/>
      <c r="J66" s="127"/>
      <c r="K66" s="127"/>
      <c r="L66" s="127"/>
      <c r="M66" s="127"/>
      <c r="N66" s="127"/>
      <c r="O66" s="127"/>
      <c r="P66" s="127"/>
      <c r="Q66" s="127"/>
    </row>
    <row r="67" spans="3:17" x14ac:dyDescent="0.3">
      <c r="C67" s="151">
        <f ca="1">DATE(selected_year,4,1)</f>
        <v>46113</v>
      </c>
      <c r="D67" s="110" t="s">
        <v>20</v>
      </c>
      <c r="E67" s="110">
        <f t="shared" ref="E67" ca="1" si="19">MONTH(C67)</f>
        <v>4</v>
      </c>
      <c r="F67" s="110">
        <f ca="1">IF(selected_period="Jahresübersicht", 1, IF(selected_period=cc_month_number,1,0))</f>
        <v>0</v>
      </c>
      <c r="G67" s="110">
        <f t="shared" ref="G67" si="20">1*$D$45</f>
        <v>1</v>
      </c>
      <c r="H67" s="110">
        <f t="shared" ref="H67" si="21">1*$D$49</f>
        <v>1</v>
      </c>
      <c r="I67" s="125" cm="1">
        <f t="array" aca="1" ref="I67" ca="1">SUM(Tracking[Betrag]*(Tracking[Type]=cc_type)*(YEAR(Tracking[Effektiv Datum])=selected_year)*(MONTH(Tracking[Effektiv Datum])=cc_month_number))</f>
        <v>0</v>
      </c>
      <c r="J67" s="111" t="e" cm="1">
        <f t="array" aca="1" ref="J67" ca="1">INDEX('Budget Planning'!$E:$FA,Einkommen_Total_Row,MATCH(DATE(selected_year,cc_month_number,1),'Budget Planning'!$E$9:$FA$9,0))</f>
        <v>#N/A</v>
      </c>
      <c r="K67" s="111" t="e">
        <f ca="1">cc_budget-cc_tracked</f>
        <v>#N/A</v>
      </c>
      <c r="L67" s="126" t="e">
        <f ca="1">cc_in_focus * cc_show_type * MIN(cc_tracked,cc_budget)</f>
        <v>#N/A</v>
      </c>
      <c r="M67" s="126" t="e">
        <f ca="1">cc_in_focus * cc_show_type * cc_show_remaining_budget * IF(cc_delta&gt;0,cc_delta,0)</f>
        <v>#N/A</v>
      </c>
      <c r="N67" s="126" t="e">
        <f ca="1">cc_in_focus * cc_show_type * IF(cc_delta&lt;0,ABS(cc_delta),0)</f>
        <v>#N/A</v>
      </c>
      <c r="O67" s="126" t="e">
        <f ca="1">NOT(cc_in_focus) * cc_show_type * MIN(cc_tracked,cc_budget)</f>
        <v>#N/A</v>
      </c>
      <c r="P67" s="126" t="e">
        <f ca="1">NOT(cc_in_focus) * cc_show_type * cc_show_remaining_budget * IF(cc_delta&gt;0,cc_delta,0)</f>
        <v>#N/A</v>
      </c>
      <c r="Q67" s="126" t="e">
        <f ca="1">NOT(cc_in_focus) * cc_show_type * IF(cc_delta&lt;0,ABS(cc_delta),0)</f>
        <v>#N/A</v>
      </c>
    </row>
    <row r="68" spans="3:17" x14ac:dyDescent="0.3">
      <c r="C68" s="152"/>
      <c r="D68" s="110" t="s">
        <v>24</v>
      </c>
      <c r="E68" s="110">
        <f t="shared" ref="E68" ca="1" si="22">MONTH(C67)</f>
        <v>4</v>
      </c>
      <c r="F68" s="110">
        <f ca="1">IF(selected_period="Jahresübersicht", 1, IF(selected_period=cc_month_number,1,0))</f>
        <v>0</v>
      </c>
      <c r="G68" s="110">
        <f t="shared" ref="G68" si="23">1*$D$46</f>
        <v>1</v>
      </c>
      <c r="H68" s="110">
        <f t="shared" si="3"/>
        <v>1</v>
      </c>
      <c r="I68" s="125" cm="1">
        <f t="array" aca="1" ref="I68" ca="1">SUM(Tracking[Betrag]*(Tracking[Type]=cc_type)*(YEAR(Tracking[Effektiv Datum])=selected_year)*(MONTH(Tracking[Effektiv Datum])=cc_month_number))</f>
        <v>0</v>
      </c>
      <c r="J68" s="111" t="e" cm="1">
        <f t="array" aca="1" ref="J68" ca="1">INDEX('Budget Planning'!$E:$FA,Fixkosten_Total_Row,MATCH(DATE(selected_year,cc_month_number,1),'Budget Planning'!$E$9:$FA$9,0))</f>
        <v>#N/A</v>
      </c>
      <c r="K68" s="111" t="e">
        <f ca="1">cc_budget-cc_tracked</f>
        <v>#N/A</v>
      </c>
      <c r="L68" s="126" t="e">
        <f ca="1">cc_in_focus * cc_show_type * MIN(cc_tracked,cc_budget)</f>
        <v>#N/A</v>
      </c>
      <c r="M68" s="126" t="e">
        <f ca="1">cc_in_focus * cc_show_type * cc_show_remaining_budget * IF(cc_delta&gt;0,cc_delta,0)</f>
        <v>#N/A</v>
      </c>
      <c r="N68" s="126" t="e">
        <f ca="1">cc_in_focus * cc_show_type * IF(cc_delta&lt;0,ABS(cc_delta),0)</f>
        <v>#N/A</v>
      </c>
      <c r="O68" s="126" t="e">
        <f ca="1">NOT(cc_in_focus) * cc_show_type * MIN(cc_tracked,cc_budget)</f>
        <v>#N/A</v>
      </c>
      <c r="P68" s="126" t="e">
        <f ca="1">NOT(cc_in_focus) * cc_show_type * cc_show_remaining_budget * IF(cc_delta&gt;0,cc_delta,0)</f>
        <v>#N/A</v>
      </c>
      <c r="Q68" s="126" t="e">
        <f ca="1">NOT(cc_in_focus) * cc_show_type * IF(cc_delta&lt;0,ABS(cc_delta),0)</f>
        <v>#N/A</v>
      </c>
    </row>
    <row r="69" spans="3:17" x14ac:dyDescent="0.3">
      <c r="C69" s="152"/>
      <c r="D69" s="110" t="s">
        <v>27</v>
      </c>
      <c r="E69" s="110">
        <f t="shared" ref="E69" ca="1" si="24">MONTH(C67)</f>
        <v>4</v>
      </c>
      <c r="F69" s="110">
        <f ca="1">IF(selected_period="Jahresübersicht", 1, IF(selected_period=cc_month_number,1,0))</f>
        <v>0</v>
      </c>
      <c r="G69" s="110">
        <f t="shared" ref="G69" si="25">1*$D$47</f>
        <v>1</v>
      </c>
      <c r="H69" s="110">
        <f t="shared" si="3"/>
        <v>1</v>
      </c>
      <c r="I69" s="125" cm="1">
        <f t="array" aca="1" ref="I69" ca="1">SUM(Tracking[Betrag]*(Tracking[Type]=cc_type)*(YEAR(Tracking[Effektiv Datum])=selected_year)*(MONTH(Tracking[Effektiv Datum])=cc_month_number))</f>
        <v>0</v>
      </c>
      <c r="J69" s="111" t="e" cm="1">
        <f t="array" aca="1" ref="J69" ca="1">INDEX('Budget Planning'!$E:$FA,Variablekosten_Total_row,MATCH(DATE(selected_year,cc_month_number,1),'Budget Planning'!$E$9:$FA$9,0))</f>
        <v>#N/A</v>
      </c>
      <c r="K69" s="111" t="e">
        <f ca="1">cc_budget-cc_tracked</f>
        <v>#N/A</v>
      </c>
      <c r="L69" s="126" t="e">
        <f ca="1">cc_in_focus * cc_show_type * MIN(cc_tracked,cc_budget)</f>
        <v>#N/A</v>
      </c>
      <c r="M69" s="126" t="e">
        <f ca="1">cc_in_focus * cc_show_type * cc_show_remaining_budget * IF(cc_delta&gt;0,cc_delta,0)</f>
        <v>#N/A</v>
      </c>
      <c r="N69" s="126" t="e">
        <f ca="1">cc_in_focus * cc_show_type * IF(cc_delta&lt;0,ABS(cc_delta),0)</f>
        <v>#N/A</v>
      </c>
      <c r="O69" s="126" t="e">
        <f ca="1">NOT(cc_in_focus) * cc_show_type * MIN(cc_tracked,cc_budget)</f>
        <v>#N/A</v>
      </c>
      <c r="P69" s="126" t="e">
        <f ca="1">NOT(cc_in_focus) * cc_show_type * cc_show_remaining_budget * IF(cc_delta&gt;0,cc_delta,0)</f>
        <v>#N/A</v>
      </c>
      <c r="Q69" s="126" t="e">
        <f ca="1">NOT(cc_in_focus) * cc_show_type * IF(cc_delta&lt;0,ABS(cc_delta),0)</f>
        <v>#N/A</v>
      </c>
    </row>
    <row r="70" spans="3:17" x14ac:dyDescent="0.3">
      <c r="C70" s="152"/>
      <c r="D70" s="110" t="s">
        <v>29</v>
      </c>
      <c r="E70" s="110">
        <f t="shared" ref="E70" ca="1" si="26">MONTH(C67)</f>
        <v>4</v>
      </c>
      <c r="F70" s="110">
        <f ca="1">IF(selected_period="Jahresübersicht", 1, IF(selected_period=cc_month_number,1,0))</f>
        <v>0</v>
      </c>
      <c r="G70" s="110">
        <f t="shared" ref="G70" si="27">1*$D$48</f>
        <v>1</v>
      </c>
      <c r="H70" s="110">
        <f t="shared" si="3"/>
        <v>1</v>
      </c>
      <c r="I70" s="125" cm="1">
        <f t="array" aca="1" ref="I70" ca="1">SUM(Tracking[Betrag]*(Tracking[Type]=cc_type)*(YEAR(Tracking[Effektiv Datum])=selected_year)*(MONTH(Tracking[Effektiv Datum])=cc_month_number))</f>
        <v>0</v>
      </c>
      <c r="J70" s="111" t="e" cm="1">
        <f t="array" aca="1" ref="J70" ca="1">INDEX('Budget Planning'!$E:$FA,Investment_Total_Row,MATCH(DATE(selected_year,cc_month_number,1),'Budget Planning'!$E$9:$FA$9,0))</f>
        <v>#N/A</v>
      </c>
      <c r="K70" s="111" t="e">
        <f ca="1">cc_budget-cc_tracked</f>
        <v>#N/A</v>
      </c>
      <c r="L70" s="126" t="e">
        <f ca="1">cc_in_focus * cc_show_type * MIN(cc_tracked,cc_budget)</f>
        <v>#N/A</v>
      </c>
      <c r="M70" s="126" t="e">
        <f ca="1">cc_in_focus * cc_show_type * cc_show_remaining_budget * IF(cc_delta&gt;0,cc_delta,0)</f>
        <v>#N/A</v>
      </c>
      <c r="N70" s="126" t="e">
        <f ca="1">cc_in_focus * cc_show_type * IF(cc_delta&lt;0,ABS(cc_delta),0)</f>
        <v>#N/A</v>
      </c>
      <c r="O70" s="126" t="e">
        <f ca="1">NOT(cc_in_focus) * cc_show_type * MIN(cc_tracked,cc_budget)</f>
        <v>#N/A</v>
      </c>
      <c r="P70" s="126" t="e">
        <f ca="1">NOT(cc_in_focus) * cc_show_type * cc_show_remaining_budget * IF(cc_delta&gt;0,cc_delta,0)</f>
        <v>#N/A</v>
      </c>
      <c r="Q70" s="126" t="e">
        <f ca="1">NOT(cc_in_focus) * cc_show_type * IF(cc_delta&lt;0,ABS(cc_delta),0)</f>
        <v>#N/A</v>
      </c>
    </row>
    <row r="71" spans="3:17" x14ac:dyDescent="0.3">
      <c r="C71" s="152"/>
      <c r="D71" s="127"/>
      <c r="E71" s="127"/>
      <c r="F71" s="127"/>
      <c r="G71" s="127"/>
      <c r="H71" s="127"/>
      <c r="I71" s="127"/>
      <c r="J71" s="127"/>
      <c r="K71" s="127"/>
      <c r="L71" s="127"/>
      <c r="M71" s="127"/>
      <c r="N71" s="127"/>
      <c r="O71" s="127"/>
      <c r="P71" s="127"/>
      <c r="Q71" s="127"/>
    </row>
    <row r="72" spans="3:17" x14ac:dyDescent="0.3">
      <c r="C72" s="151">
        <f ca="1">DATE(selected_year,5,1)</f>
        <v>46143</v>
      </c>
      <c r="D72" s="110" t="s">
        <v>20</v>
      </c>
      <c r="E72" s="110">
        <f t="shared" ref="E72" ca="1" si="28">MONTH(C72)</f>
        <v>5</v>
      </c>
      <c r="F72" s="110">
        <f ca="1">IF(selected_period="Jahresübersicht", 1, IF(selected_period=cc_month_number,1,0))</f>
        <v>0</v>
      </c>
      <c r="G72" s="110">
        <f t="shared" ref="G72" si="29">1*$D$45</f>
        <v>1</v>
      </c>
      <c r="H72" s="110">
        <f t="shared" ref="H72" si="30">1*$D$49</f>
        <v>1</v>
      </c>
      <c r="I72" s="125" cm="1">
        <f t="array" aca="1" ref="I72" ca="1">SUM(Tracking[Betrag]*(Tracking[Type]=cc_type)*(YEAR(Tracking[Effektiv Datum])=selected_year)*(MONTH(Tracking[Effektiv Datum])=cc_month_number))</f>
        <v>0</v>
      </c>
      <c r="J72" s="111" t="e" cm="1">
        <f t="array" aca="1" ref="J72" ca="1">INDEX('Budget Planning'!$E:$FA,Einkommen_Total_Row,MATCH(DATE(selected_year,cc_month_number,1),'Budget Planning'!$E$9:$FA$9,0))</f>
        <v>#N/A</v>
      </c>
      <c r="K72" s="111" t="e">
        <f ca="1">cc_budget-cc_tracked</f>
        <v>#N/A</v>
      </c>
      <c r="L72" s="126" t="e">
        <f ca="1">cc_in_focus * cc_show_type * MIN(cc_tracked,cc_budget)</f>
        <v>#N/A</v>
      </c>
      <c r="M72" s="126" t="e">
        <f ca="1">cc_in_focus * cc_show_type * cc_show_remaining_budget * IF(cc_delta&gt;0,cc_delta,0)</f>
        <v>#N/A</v>
      </c>
      <c r="N72" s="126" t="e">
        <f ca="1">cc_in_focus * cc_show_type * IF(cc_delta&lt;0,ABS(cc_delta),0)</f>
        <v>#N/A</v>
      </c>
      <c r="O72" s="126" t="e">
        <f ca="1">NOT(cc_in_focus) * cc_show_type * MIN(cc_tracked,cc_budget)</f>
        <v>#N/A</v>
      </c>
      <c r="P72" s="126" t="e">
        <f ca="1">NOT(cc_in_focus) * cc_show_type * cc_show_remaining_budget * IF(cc_delta&gt;0,cc_delta,0)</f>
        <v>#N/A</v>
      </c>
      <c r="Q72" s="126" t="e">
        <f ca="1">NOT(cc_in_focus) * cc_show_type * IF(cc_delta&lt;0,ABS(cc_delta),0)</f>
        <v>#N/A</v>
      </c>
    </row>
    <row r="73" spans="3:17" x14ac:dyDescent="0.3">
      <c r="C73" s="152"/>
      <c r="D73" s="110" t="s">
        <v>24</v>
      </c>
      <c r="E73" s="110">
        <f t="shared" ref="E73" ca="1" si="31">MONTH(C72)</f>
        <v>5</v>
      </c>
      <c r="F73" s="110">
        <f ca="1">IF(selected_period="Jahresübersicht", 1, IF(selected_period=cc_month_number,1,0))</f>
        <v>0</v>
      </c>
      <c r="G73" s="110">
        <f t="shared" ref="G73" si="32">1*$D$46</f>
        <v>1</v>
      </c>
      <c r="H73" s="110">
        <f t="shared" si="3"/>
        <v>1</v>
      </c>
      <c r="I73" s="125" cm="1">
        <f t="array" aca="1" ref="I73" ca="1">SUM(Tracking[Betrag]*(Tracking[Type]=cc_type)*(YEAR(Tracking[Effektiv Datum])=selected_year)*(MONTH(Tracking[Effektiv Datum])=cc_month_number))</f>
        <v>0</v>
      </c>
      <c r="J73" s="111" t="e" cm="1">
        <f t="array" aca="1" ref="J73" ca="1">INDEX('Budget Planning'!$E:$FA,Fixkosten_Total_Row,MATCH(DATE(selected_year,cc_month_number,1),'Budget Planning'!$E$9:$FA$9,0))</f>
        <v>#N/A</v>
      </c>
      <c r="K73" s="111" t="e">
        <f ca="1">cc_budget-cc_tracked</f>
        <v>#N/A</v>
      </c>
      <c r="L73" s="126" t="e">
        <f ca="1">cc_in_focus * cc_show_type * MIN(cc_tracked,cc_budget)</f>
        <v>#N/A</v>
      </c>
      <c r="M73" s="126" t="e">
        <f ca="1">cc_in_focus * cc_show_type * cc_show_remaining_budget * IF(cc_delta&gt;0,cc_delta,0)</f>
        <v>#N/A</v>
      </c>
      <c r="N73" s="126" t="e">
        <f ca="1">cc_in_focus * cc_show_type * IF(cc_delta&lt;0,ABS(cc_delta),0)</f>
        <v>#N/A</v>
      </c>
      <c r="O73" s="126" t="e">
        <f ca="1">NOT(cc_in_focus) * cc_show_type * MIN(cc_tracked,cc_budget)</f>
        <v>#N/A</v>
      </c>
      <c r="P73" s="126" t="e">
        <f ca="1">NOT(cc_in_focus) * cc_show_type * cc_show_remaining_budget * IF(cc_delta&gt;0,cc_delta,0)</f>
        <v>#N/A</v>
      </c>
      <c r="Q73" s="126" t="e">
        <f ca="1">NOT(cc_in_focus) * cc_show_type * IF(cc_delta&lt;0,ABS(cc_delta),0)</f>
        <v>#N/A</v>
      </c>
    </row>
    <row r="74" spans="3:17" x14ac:dyDescent="0.3">
      <c r="C74" s="152"/>
      <c r="D74" s="110" t="s">
        <v>27</v>
      </c>
      <c r="E74" s="110">
        <f t="shared" ref="E74" ca="1" si="33">MONTH(C72)</f>
        <v>5</v>
      </c>
      <c r="F74" s="110">
        <f ca="1">IF(selected_period="Jahresübersicht", 1, IF(selected_period=cc_month_number,1,0))</f>
        <v>0</v>
      </c>
      <c r="G74" s="110">
        <f t="shared" ref="G74" si="34">1*$D$47</f>
        <v>1</v>
      </c>
      <c r="H74" s="110">
        <f t="shared" si="3"/>
        <v>1</v>
      </c>
      <c r="I74" s="125" cm="1">
        <f t="array" aca="1" ref="I74" ca="1">SUM(Tracking[Betrag]*(Tracking[Type]=cc_type)*(YEAR(Tracking[Effektiv Datum])=selected_year)*(MONTH(Tracking[Effektiv Datum])=cc_month_number))</f>
        <v>0</v>
      </c>
      <c r="J74" s="111" t="e" cm="1">
        <f t="array" aca="1" ref="J74" ca="1">INDEX('Budget Planning'!$E:$FA,Variablekosten_Total_row,MATCH(DATE(selected_year,cc_month_number,1),'Budget Planning'!$E$9:$FA$9,0))</f>
        <v>#N/A</v>
      </c>
      <c r="K74" s="111" t="e">
        <f ca="1">cc_budget-cc_tracked</f>
        <v>#N/A</v>
      </c>
      <c r="L74" s="126" t="e">
        <f ca="1">cc_in_focus * cc_show_type * MIN(cc_tracked,cc_budget)</f>
        <v>#N/A</v>
      </c>
      <c r="M74" s="126" t="e">
        <f ca="1">cc_in_focus * cc_show_type * cc_show_remaining_budget * IF(cc_delta&gt;0,cc_delta,0)</f>
        <v>#N/A</v>
      </c>
      <c r="N74" s="126" t="e">
        <f ca="1">cc_in_focus * cc_show_type * IF(cc_delta&lt;0,ABS(cc_delta),0)</f>
        <v>#N/A</v>
      </c>
      <c r="O74" s="126" t="e">
        <f ca="1">NOT(cc_in_focus) * cc_show_type * MIN(cc_tracked,cc_budget)</f>
        <v>#N/A</v>
      </c>
      <c r="P74" s="126" t="e">
        <f ca="1">NOT(cc_in_focus) * cc_show_type * cc_show_remaining_budget * IF(cc_delta&gt;0,cc_delta,0)</f>
        <v>#N/A</v>
      </c>
      <c r="Q74" s="126" t="e">
        <f ca="1">NOT(cc_in_focus) * cc_show_type * IF(cc_delta&lt;0,ABS(cc_delta),0)</f>
        <v>#N/A</v>
      </c>
    </row>
    <row r="75" spans="3:17" x14ac:dyDescent="0.3">
      <c r="C75" s="152"/>
      <c r="D75" s="110" t="s">
        <v>29</v>
      </c>
      <c r="E75" s="110">
        <f t="shared" ref="E75" ca="1" si="35">MONTH(C72)</f>
        <v>5</v>
      </c>
      <c r="F75" s="110">
        <f ca="1">IF(selected_period="Jahresübersicht", 1, IF(selected_period=cc_month_number,1,0))</f>
        <v>0</v>
      </c>
      <c r="G75" s="110">
        <f t="shared" ref="G75" si="36">1*$D$48</f>
        <v>1</v>
      </c>
      <c r="H75" s="110">
        <f t="shared" si="3"/>
        <v>1</v>
      </c>
      <c r="I75" s="125" cm="1">
        <f t="array" aca="1" ref="I75" ca="1">SUM(Tracking[Betrag]*(Tracking[Type]=cc_type)*(YEAR(Tracking[Effektiv Datum])=selected_year)*(MONTH(Tracking[Effektiv Datum])=cc_month_number))</f>
        <v>0</v>
      </c>
      <c r="J75" s="111" t="e" cm="1">
        <f t="array" aca="1" ref="J75" ca="1">INDEX('Budget Planning'!$E:$FA,Investment_Total_Row,MATCH(DATE(selected_year,cc_month_number,1),'Budget Planning'!$E$9:$FA$9,0))</f>
        <v>#N/A</v>
      </c>
      <c r="K75" s="111" t="e">
        <f ca="1">cc_budget-cc_tracked</f>
        <v>#N/A</v>
      </c>
      <c r="L75" s="126" t="e">
        <f ca="1">cc_in_focus * cc_show_type * MIN(cc_tracked,cc_budget)</f>
        <v>#N/A</v>
      </c>
      <c r="M75" s="126" t="e">
        <f ca="1">cc_in_focus * cc_show_type * cc_show_remaining_budget * IF(cc_delta&gt;0,cc_delta,0)</f>
        <v>#N/A</v>
      </c>
      <c r="N75" s="126" t="e">
        <f ca="1">cc_in_focus * cc_show_type * IF(cc_delta&lt;0,ABS(cc_delta),0)</f>
        <v>#N/A</v>
      </c>
      <c r="O75" s="126" t="e">
        <f ca="1">NOT(cc_in_focus) * cc_show_type * MIN(cc_tracked,cc_budget)</f>
        <v>#N/A</v>
      </c>
      <c r="P75" s="126" t="e">
        <f ca="1">NOT(cc_in_focus) * cc_show_type * cc_show_remaining_budget * IF(cc_delta&gt;0,cc_delta,0)</f>
        <v>#N/A</v>
      </c>
      <c r="Q75" s="126" t="e">
        <f ca="1">NOT(cc_in_focus) * cc_show_type * IF(cc_delta&lt;0,ABS(cc_delta),0)</f>
        <v>#N/A</v>
      </c>
    </row>
    <row r="76" spans="3:17" x14ac:dyDescent="0.3">
      <c r="C76" s="152"/>
      <c r="D76" s="127"/>
      <c r="E76" s="127"/>
      <c r="F76" s="127"/>
      <c r="G76" s="127"/>
      <c r="H76" s="127"/>
      <c r="I76" s="127"/>
      <c r="J76" s="127"/>
      <c r="K76" s="127"/>
      <c r="L76" s="127"/>
      <c r="M76" s="127"/>
      <c r="N76" s="127"/>
      <c r="O76" s="127"/>
      <c r="P76" s="127"/>
      <c r="Q76" s="127"/>
    </row>
    <row r="77" spans="3:17" x14ac:dyDescent="0.3">
      <c r="C77" s="151">
        <f ca="1">DATE(selected_year,6,1)</f>
        <v>46174</v>
      </c>
      <c r="D77" s="110" t="s">
        <v>20</v>
      </c>
      <c r="E77" s="110">
        <f t="shared" ref="E77" ca="1" si="37">MONTH(C77)</f>
        <v>6</v>
      </c>
      <c r="F77" s="110">
        <f ca="1">IF(selected_period="Jahresübersicht", 1, IF(selected_period=cc_month_number,1,0))</f>
        <v>0</v>
      </c>
      <c r="G77" s="110">
        <f t="shared" ref="G77" si="38">1*$D$45</f>
        <v>1</v>
      </c>
      <c r="H77" s="110">
        <f t="shared" ref="H77" si="39">1*$D$49</f>
        <v>1</v>
      </c>
      <c r="I77" s="125" cm="1">
        <f t="array" aca="1" ref="I77" ca="1">SUM(Tracking[Betrag]*(Tracking[Type]=cc_type)*(YEAR(Tracking[Effektiv Datum])=selected_year)*(MONTH(Tracking[Effektiv Datum])=cc_month_number))</f>
        <v>0</v>
      </c>
      <c r="J77" s="111" t="e" cm="1">
        <f t="array" aca="1" ref="J77" ca="1">INDEX('Budget Planning'!$E:$FA,Einkommen_Total_Row,MATCH(DATE(selected_year,cc_month_number,1),'Budget Planning'!$E$9:$FA$9,0))</f>
        <v>#N/A</v>
      </c>
      <c r="K77" s="111" t="e">
        <f ca="1">cc_budget-cc_tracked</f>
        <v>#N/A</v>
      </c>
      <c r="L77" s="126" t="e">
        <f ca="1">cc_in_focus * cc_show_type * MIN(cc_tracked,cc_budget)</f>
        <v>#N/A</v>
      </c>
      <c r="M77" s="126" t="e">
        <f ca="1">cc_in_focus * cc_show_type * cc_show_remaining_budget * IF(cc_delta&gt;0,cc_delta,0)</f>
        <v>#N/A</v>
      </c>
      <c r="N77" s="126" t="e">
        <f ca="1">cc_in_focus * cc_show_type * IF(cc_delta&lt;0,ABS(cc_delta),0)</f>
        <v>#N/A</v>
      </c>
      <c r="O77" s="126" t="e">
        <f ca="1">NOT(cc_in_focus) * cc_show_type * MIN(cc_tracked,cc_budget)</f>
        <v>#N/A</v>
      </c>
      <c r="P77" s="126" t="e">
        <f ca="1">NOT(cc_in_focus) * cc_show_type * cc_show_remaining_budget * IF(cc_delta&gt;0,cc_delta,0)</f>
        <v>#N/A</v>
      </c>
      <c r="Q77" s="126" t="e">
        <f ca="1">NOT(cc_in_focus) * cc_show_type * IF(cc_delta&lt;0,ABS(cc_delta),0)</f>
        <v>#N/A</v>
      </c>
    </row>
    <row r="78" spans="3:17" x14ac:dyDescent="0.3">
      <c r="C78" s="152"/>
      <c r="D78" s="110" t="s">
        <v>24</v>
      </c>
      <c r="E78" s="110">
        <f t="shared" ref="E78" ca="1" si="40">MONTH(C77)</f>
        <v>6</v>
      </c>
      <c r="F78" s="110">
        <f ca="1">IF(selected_period="Jahresübersicht", 1, IF(selected_period=cc_month_number,1,0))</f>
        <v>0</v>
      </c>
      <c r="G78" s="110">
        <f t="shared" ref="G78" si="41">1*$D$46</f>
        <v>1</v>
      </c>
      <c r="H78" s="110">
        <f t="shared" si="3"/>
        <v>1</v>
      </c>
      <c r="I78" s="125" cm="1">
        <f t="array" aca="1" ref="I78" ca="1">SUM(Tracking[Betrag]*(Tracking[Type]=cc_type)*(YEAR(Tracking[Effektiv Datum])=selected_year)*(MONTH(Tracking[Effektiv Datum])=cc_month_number))</f>
        <v>0</v>
      </c>
      <c r="J78" s="111" t="e" cm="1">
        <f t="array" aca="1" ref="J78" ca="1">INDEX('Budget Planning'!$E:$FA,Fixkosten_Total_Row,MATCH(DATE(selected_year,cc_month_number,1),'Budget Planning'!$E$9:$FA$9,0))</f>
        <v>#N/A</v>
      </c>
      <c r="K78" s="111" t="e">
        <f ca="1">cc_budget-cc_tracked</f>
        <v>#N/A</v>
      </c>
      <c r="L78" s="126" t="e">
        <f ca="1">cc_in_focus * cc_show_type * MIN(cc_tracked,cc_budget)</f>
        <v>#N/A</v>
      </c>
      <c r="M78" s="126" t="e">
        <f ca="1">cc_in_focus * cc_show_type * cc_show_remaining_budget * IF(cc_delta&gt;0,cc_delta,0)</f>
        <v>#N/A</v>
      </c>
      <c r="N78" s="126" t="e">
        <f ca="1">cc_in_focus * cc_show_type * IF(cc_delta&lt;0,ABS(cc_delta),0)</f>
        <v>#N/A</v>
      </c>
      <c r="O78" s="126" t="e">
        <f ca="1">NOT(cc_in_focus) * cc_show_type * MIN(cc_tracked,cc_budget)</f>
        <v>#N/A</v>
      </c>
      <c r="P78" s="126" t="e">
        <f ca="1">NOT(cc_in_focus) * cc_show_type * cc_show_remaining_budget * IF(cc_delta&gt;0,cc_delta,0)</f>
        <v>#N/A</v>
      </c>
      <c r="Q78" s="126" t="e">
        <f ca="1">NOT(cc_in_focus) * cc_show_type * IF(cc_delta&lt;0,ABS(cc_delta),0)</f>
        <v>#N/A</v>
      </c>
    </row>
    <row r="79" spans="3:17" x14ac:dyDescent="0.3">
      <c r="C79" s="152"/>
      <c r="D79" s="110" t="s">
        <v>27</v>
      </c>
      <c r="E79" s="110">
        <f t="shared" ref="E79" ca="1" si="42">MONTH(C77)</f>
        <v>6</v>
      </c>
      <c r="F79" s="110">
        <f ca="1">IF(selected_period="Jahresübersicht", 1, IF(selected_period=cc_month_number,1,0))</f>
        <v>0</v>
      </c>
      <c r="G79" s="110">
        <f t="shared" ref="G79" si="43">1*$D$47</f>
        <v>1</v>
      </c>
      <c r="H79" s="110">
        <f t="shared" si="3"/>
        <v>1</v>
      </c>
      <c r="I79" s="125" cm="1">
        <f t="array" aca="1" ref="I79" ca="1">SUM(Tracking[Betrag]*(Tracking[Type]=cc_type)*(YEAR(Tracking[Effektiv Datum])=selected_year)*(MONTH(Tracking[Effektiv Datum])=cc_month_number))</f>
        <v>0</v>
      </c>
      <c r="J79" s="111" t="e" cm="1">
        <f t="array" aca="1" ref="J79" ca="1">INDEX('Budget Planning'!$E:$FA,Variablekosten_Total_row,MATCH(DATE(selected_year,cc_month_number,1),'Budget Planning'!$E$9:$FA$9,0))</f>
        <v>#N/A</v>
      </c>
      <c r="K79" s="111" t="e">
        <f ca="1">cc_budget-cc_tracked</f>
        <v>#N/A</v>
      </c>
      <c r="L79" s="126" t="e">
        <f ca="1">cc_in_focus * cc_show_type * MIN(cc_tracked,cc_budget)</f>
        <v>#N/A</v>
      </c>
      <c r="M79" s="126" t="e">
        <f ca="1">cc_in_focus * cc_show_type * cc_show_remaining_budget * IF(cc_delta&gt;0,cc_delta,0)</f>
        <v>#N/A</v>
      </c>
      <c r="N79" s="126" t="e">
        <f ca="1">cc_in_focus * cc_show_type * IF(cc_delta&lt;0,ABS(cc_delta),0)</f>
        <v>#N/A</v>
      </c>
      <c r="O79" s="126" t="e">
        <f ca="1">NOT(cc_in_focus) * cc_show_type * MIN(cc_tracked,cc_budget)</f>
        <v>#N/A</v>
      </c>
      <c r="P79" s="126" t="e">
        <f ca="1">NOT(cc_in_focus) * cc_show_type * cc_show_remaining_budget * IF(cc_delta&gt;0,cc_delta,0)</f>
        <v>#N/A</v>
      </c>
      <c r="Q79" s="126" t="e">
        <f ca="1">NOT(cc_in_focus) * cc_show_type * IF(cc_delta&lt;0,ABS(cc_delta),0)</f>
        <v>#N/A</v>
      </c>
    </row>
    <row r="80" spans="3:17" x14ac:dyDescent="0.3">
      <c r="C80" s="152"/>
      <c r="D80" s="110" t="s">
        <v>29</v>
      </c>
      <c r="E80" s="110">
        <f t="shared" ref="E80" ca="1" si="44">MONTH(C77)</f>
        <v>6</v>
      </c>
      <c r="F80" s="110">
        <f ca="1">IF(selected_period="Jahresübersicht", 1, IF(selected_period=cc_month_number,1,0))</f>
        <v>0</v>
      </c>
      <c r="G80" s="110">
        <f t="shared" ref="G80" si="45">1*$D$48</f>
        <v>1</v>
      </c>
      <c r="H80" s="110">
        <f t="shared" si="3"/>
        <v>1</v>
      </c>
      <c r="I80" s="125" cm="1">
        <f t="array" aca="1" ref="I80" ca="1">SUM(Tracking[Betrag]*(Tracking[Type]=cc_type)*(YEAR(Tracking[Effektiv Datum])=selected_year)*(MONTH(Tracking[Effektiv Datum])=cc_month_number))</f>
        <v>0</v>
      </c>
      <c r="J80" s="111" t="e" cm="1">
        <f t="array" aca="1" ref="J80" ca="1">INDEX('Budget Planning'!$E:$FA,Investment_Total_Row,MATCH(DATE(selected_year,cc_month_number,1),'Budget Planning'!$E$9:$FA$9,0))</f>
        <v>#N/A</v>
      </c>
      <c r="K80" s="111" t="e">
        <f ca="1">cc_budget-cc_tracked</f>
        <v>#N/A</v>
      </c>
      <c r="L80" s="126" t="e">
        <f ca="1">cc_in_focus * cc_show_type * MIN(cc_tracked,cc_budget)</f>
        <v>#N/A</v>
      </c>
      <c r="M80" s="126" t="e">
        <f ca="1">cc_in_focus * cc_show_type * cc_show_remaining_budget * IF(cc_delta&gt;0,cc_delta,0)</f>
        <v>#N/A</v>
      </c>
      <c r="N80" s="126" t="e">
        <f ca="1">cc_in_focus * cc_show_type * IF(cc_delta&lt;0,ABS(cc_delta),0)</f>
        <v>#N/A</v>
      </c>
      <c r="O80" s="126" t="e">
        <f ca="1">NOT(cc_in_focus) * cc_show_type * MIN(cc_tracked,cc_budget)</f>
        <v>#N/A</v>
      </c>
      <c r="P80" s="126" t="e">
        <f ca="1">NOT(cc_in_focus) * cc_show_type * cc_show_remaining_budget * IF(cc_delta&gt;0,cc_delta,0)</f>
        <v>#N/A</v>
      </c>
      <c r="Q80" s="126" t="e">
        <f ca="1">NOT(cc_in_focus) * cc_show_type * IF(cc_delta&lt;0,ABS(cc_delta),0)</f>
        <v>#N/A</v>
      </c>
    </row>
    <row r="81" spans="3:17" x14ac:dyDescent="0.3">
      <c r="C81" s="152"/>
      <c r="D81" s="127"/>
      <c r="E81" s="127"/>
      <c r="F81" s="127"/>
      <c r="G81" s="127"/>
      <c r="H81" s="127"/>
      <c r="I81" s="127"/>
      <c r="J81" s="127"/>
      <c r="K81" s="127"/>
      <c r="L81" s="127"/>
      <c r="M81" s="127"/>
      <c r="N81" s="127"/>
      <c r="O81" s="127"/>
      <c r="P81" s="127"/>
      <c r="Q81" s="127"/>
    </row>
    <row r="82" spans="3:17" x14ac:dyDescent="0.3">
      <c r="C82" s="151">
        <f ca="1">DATE(selected_year,7,1)</f>
        <v>46204</v>
      </c>
      <c r="D82" s="110" t="s">
        <v>20</v>
      </c>
      <c r="E82" s="110">
        <f t="shared" ref="E82" ca="1" si="46">MONTH(C82)</f>
        <v>7</v>
      </c>
      <c r="F82" s="110">
        <f ca="1">IF(selected_period="Jahresübersicht", 1, IF(selected_period=cc_month_number,1,0))</f>
        <v>0</v>
      </c>
      <c r="G82" s="110">
        <f t="shared" ref="G82" si="47">1*$D$45</f>
        <v>1</v>
      </c>
      <c r="H82" s="110">
        <f t="shared" ref="H82" si="48">1*$D$49</f>
        <v>1</v>
      </c>
      <c r="I82" s="125" cm="1">
        <f t="array" aca="1" ref="I82" ca="1">SUM(Tracking[Betrag]*(Tracking[Type]=cc_type)*(YEAR(Tracking[Effektiv Datum])=selected_year)*(MONTH(Tracking[Effektiv Datum])=cc_month_number))</f>
        <v>0</v>
      </c>
      <c r="J82" s="111" t="e" cm="1">
        <f t="array" aca="1" ref="J82" ca="1">INDEX('Budget Planning'!$E:$FA,Einkommen_Total_Row,MATCH(DATE(selected_year,cc_month_number,1),'Budget Planning'!$E$9:$FA$9,0))</f>
        <v>#N/A</v>
      </c>
      <c r="K82" s="111" t="e">
        <f ca="1">cc_budget-cc_tracked</f>
        <v>#N/A</v>
      </c>
      <c r="L82" s="126" t="e">
        <f ca="1">cc_in_focus * cc_show_type * MIN(cc_tracked,cc_budget)</f>
        <v>#N/A</v>
      </c>
      <c r="M82" s="126" t="e">
        <f ca="1">cc_in_focus * cc_show_type * cc_show_remaining_budget * IF(cc_delta&gt;0,cc_delta,0)</f>
        <v>#N/A</v>
      </c>
      <c r="N82" s="126" t="e">
        <f ca="1">cc_in_focus * cc_show_type * IF(cc_delta&lt;0,ABS(cc_delta),0)</f>
        <v>#N/A</v>
      </c>
      <c r="O82" s="126" t="e">
        <f ca="1">NOT(cc_in_focus) * cc_show_type * MIN(cc_tracked,cc_budget)</f>
        <v>#N/A</v>
      </c>
      <c r="P82" s="126" t="e">
        <f ca="1">NOT(cc_in_focus) * cc_show_type * cc_show_remaining_budget * IF(cc_delta&gt;0,cc_delta,0)</f>
        <v>#N/A</v>
      </c>
      <c r="Q82" s="126" t="e">
        <f ca="1">NOT(cc_in_focus) * cc_show_type * IF(cc_delta&lt;0,ABS(cc_delta),0)</f>
        <v>#N/A</v>
      </c>
    </row>
    <row r="83" spans="3:17" x14ac:dyDescent="0.3">
      <c r="C83" s="152"/>
      <c r="D83" s="110" t="s">
        <v>24</v>
      </c>
      <c r="E83" s="110">
        <f t="shared" ref="E83" ca="1" si="49">MONTH(C82)</f>
        <v>7</v>
      </c>
      <c r="F83" s="110">
        <f ca="1">IF(selected_period="Jahresübersicht", 1, IF(selected_period=cc_month_number,1,0))</f>
        <v>0</v>
      </c>
      <c r="G83" s="110">
        <f t="shared" ref="G83" si="50">1*$D$46</f>
        <v>1</v>
      </c>
      <c r="H83" s="110">
        <f t="shared" si="3"/>
        <v>1</v>
      </c>
      <c r="I83" s="125" cm="1">
        <f t="array" aca="1" ref="I83" ca="1">SUM(Tracking[Betrag]*(Tracking[Type]=cc_type)*(YEAR(Tracking[Effektiv Datum])=selected_year)*(MONTH(Tracking[Effektiv Datum])=cc_month_number))</f>
        <v>0</v>
      </c>
      <c r="J83" s="111" t="e" cm="1">
        <f t="array" aca="1" ref="J83" ca="1">INDEX('Budget Planning'!$E:$FA,Fixkosten_Total_Row,MATCH(DATE(selected_year,cc_month_number,1),'Budget Planning'!$E$9:$FA$9,0))</f>
        <v>#N/A</v>
      </c>
      <c r="K83" s="111" t="e">
        <f ca="1">cc_budget-cc_tracked</f>
        <v>#N/A</v>
      </c>
      <c r="L83" s="126" t="e">
        <f ca="1">cc_in_focus * cc_show_type * MIN(cc_tracked,cc_budget)</f>
        <v>#N/A</v>
      </c>
      <c r="M83" s="126" t="e">
        <f ca="1">cc_in_focus * cc_show_type * cc_show_remaining_budget * IF(cc_delta&gt;0,cc_delta,0)</f>
        <v>#N/A</v>
      </c>
      <c r="N83" s="126" t="e">
        <f ca="1">cc_in_focus * cc_show_type * IF(cc_delta&lt;0,ABS(cc_delta),0)</f>
        <v>#N/A</v>
      </c>
      <c r="O83" s="126" t="e">
        <f ca="1">NOT(cc_in_focus) * cc_show_type * MIN(cc_tracked,cc_budget)</f>
        <v>#N/A</v>
      </c>
      <c r="P83" s="126" t="e">
        <f ca="1">NOT(cc_in_focus) * cc_show_type * cc_show_remaining_budget * IF(cc_delta&gt;0,cc_delta,0)</f>
        <v>#N/A</v>
      </c>
      <c r="Q83" s="126" t="e">
        <f ca="1">NOT(cc_in_focus) * cc_show_type * IF(cc_delta&lt;0,ABS(cc_delta),0)</f>
        <v>#N/A</v>
      </c>
    </row>
    <row r="84" spans="3:17" x14ac:dyDescent="0.3">
      <c r="C84" s="152"/>
      <c r="D84" s="110" t="s">
        <v>27</v>
      </c>
      <c r="E84" s="110">
        <f t="shared" ref="E84" ca="1" si="51">MONTH(C82)</f>
        <v>7</v>
      </c>
      <c r="F84" s="110">
        <f ca="1">IF(selected_period="Jahresübersicht", 1, IF(selected_period=cc_month_number,1,0))</f>
        <v>0</v>
      </c>
      <c r="G84" s="110">
        <f t="shared" ref="G84" si="52">1*$D$47</f>
        <v>1</v>
      </c>
      <c r="H84" s="110">
        <f t="shared" si="3"/>
        <v>1</v>
      </c>
      <c r="I84" s="125" cm="1">
        <f t="array" aca="1" ref="I84" ca="1">SUM(Tracking[Betrag]*(Tracking[Type]=cc_type)*(YEAR(Tracking[Effektiv Datum])=selected_year)*(MONTH(Tracking[Effektiv Datum])=cc_month_number))</f>
        <v>0</v>
      </c>
      <c r="J84" s="111" t="e" cm="1">
        <f t="array" aca="1" ref="J84" ca="1">INDEX('Budget Planning'!$E:$FA,Variablekosten_Total_row,MATCH(DATE(selected_year,cc_month_number,1),'Budget Planning'!$E$9:$FA$9,0))</f>
        <v>#N/A</v>
      </c>
      <c r="K84" s="111" t="e">
        <f ca="1">cc_budget-cc_tracked</f>
        <v>#N/A</v>
      </c>
      <c r="L84" s="126" t="e">
        <f ca="1">cc_in_focus * cc_show_type * MIN(cc_tracked,cc_budget)</f>
        <v>#N/A</v>
      </c>
      <c r="M84" s="126" t="e">
        <f ca="1">cc_in_focus * cc_show_type * cc_show_remaining_budget * IF(cc_delta&gt;0,cc_delta,0)</f>
        <v>#N/A</v>
      </c>
      <c r="N84" s="126" t="e">
        <f ca="1">cc_in_focus * cc_show_type * IF(cc_delta&lt;0,ABS(cc_delta),0)</f>
        <v>#N/A</v>
      </c>
      <c r="O84" s="126" t="e">
        <f ca="1">NOT(cc_in_focus) * cc_show_type * MIN(cc_tracked,cc_budget)</f>
        <v>#N/A</v>
      </c>
      <c r="P84" s="126" t="e">
        <f ca="1">NOT(cc_in_focus) * cc_show_type * cc_show_remaining_budget * IF(cc_delta&gt;0,cc_delta,0)</f>
        <v>#N/A</v>
      </c>
      <c r="Q84" s="126" t="e">
        <f ca="1">NOT(cc_in_focus) * cc_show_type * IF(cc_delta&lt;0,ABS(cc_delta),0)</f>
        <v>#N/A</v>
      </c>
    </row>
    <row r="85" spans="3:17" x14ac:dyDescent="0.3">
      <c r="C85" s="152"/>
      <c r="D85" s="110" t="s">
        <v>29</v>
      </c>
      <c r="E85" s="110">
        <f t="shared" ref="E85" ca="1" si="53">MONTH(C82)</f>
        <v>7</v>
      </c>
      <c r="F85" s="110">
        <f ca="1">IF(selected_period="Jahresübersicht", 1, IF(selected_period=cc_month_number,1,0))</f>
        <v>0</v>
      </c>
      <c r="G85" s="110">
        <f t="shared" ref="G85" si="54">1*$D$48</f>
        <v>1</v>
      </c>
      <c r="H85" s="110">
        <f t="shared" si="3"/>
        <v>1</v>
      </c>
      <c r="I85" s="125" cm="1">
        <f t="array" aca="1" ref="I85" ca="1">SUM(Tracking[Betrag]*(Tracking[Type]=cc_type)*(YEAR(Tracking[Effektiv Datum])=selected_year)*(MONTH(Tracking[Effektiv Datum])=cc_month_number))</f>
        <v>0</v>
      </c>
      <c r="J85" s="111" t="e" cm="1">
        <f t="array" aca="1" ref="J85" ca="1">INDEX('Budget Planning'!$E:$FA,Investment_Total_Row,MATCH(DATE(selected_year,cc_month_number,1),'Budget Planning'!$E$9:$FA$9,0))</f>
        <v>#N/A</v>
      </c>
      <c r="K85" s="111" t="e">
        <f ca="1">cc_budget-cc_tracked</f>
        <v>#N/A</v>
      </c>
      <c r="L85" s="126" t="e">
        <f ca="1">cc_in_focus * cc_show_type * MIN(cc_tracked,cc_budget)</f>
        <v>#N/A</v>
      </c>
      <c r="M85" s="126" t="e">
        <f ca="1">cc_in_focus * cc_show_type * cc_show_remaining_budget * IF(cc_delta&gt;0,cc_delta,0)</f>
        <v>#N/A</v>
      </c>
      <c r="N85" s="126" t="e">
        <f ca="1">cc_in_focus * cc_show_type * IF(cc_delta&lt;0,ABS(cc_delta),0)</f>
        <v>#N/A</v>
      </c>
      <c r="O85" s="126" t="e">
        <f ca="1">NOT(cc_in_focus) * cc_show_type * MIN(cc_tracked,cc_budget)</f>
        <v>#N/A</v>
      </c>
      <c r="P85" s="126" t="e">
        <f ca="1">NOT(cc_in_focus) * cc_show_type * cc_show_remaining_budget * IF(cc_delta&gt;0,cc_delta,0)</f>
        <v>#N/A</v>
      </c>
      <c r="Q85" s="126" t="e">
        <f ca="1">NOT(cc_in_focus) * cc_show_type * IF(cc_delta&lt;0,ABS(cc_delta),0)</f>
        <v>#N/A</v>
      </c>
    </row>
    <row r="86" spans="3:17" x14ac:dyDescent="0.3">
      <c r="C86" s="152"/>
      <c r="D86" s="127"/>
      <c r="E86" s="127"/>
      <c r="F86" s="127"/>
      <c r="G86" s="127"/>
      <c r="H86" s="127"/>
      <c r="I86" s="127"/>
      <c r="J86" s="127"/>
      <c r="K86" s="127"/>
      <c r="L86" s="127"/>
      <c r="M86" s="127"/>
      <c r="N86" s="127"/>
      <c r="O86" s="127"/>
      <c r="P86" s="127"/>
      <c r="Q86" s="127"/>
    </row>
    <row r="87" spans="3:17" x14ac:dyDescent="0.3">
      <c r="C87" s="151">
        <f ca="1">DATE(selected_year,8,1)</f>
        <v>46235</v>
      </c>
      <c r="D87" s="110" t="s">
        <v>20</v>
      </c>
      <c r="E87" s="110">
        <f t="shared" ref="E87" ca="1" si="55">MONTH(C87)</f>
        <v>8</v>
      </c>
      <c r="F87" s="110">
        <f ca="1">IF(selected_period="Jahresübersicht", 1, IF(selected_period=cc_month_number,1,0))</f>
        <v>0</v>
      </c>
      <c r="G87" s="110">
        <f t="shared" ref="G87" si="56">1*$D$45</f>
        <v>1</v>
      </c>
      <c r="H87" s="110">
        <f t="shared" ref="H87" si="57">1*$D$49</f>
        <v>1</v>
      </c>
      <c r="I87" s="125" cm="1">
        <f t="array" aca="1" ref="I87" ca="1">SUM(Tracking[Betrag]*(Tracking[Type]=cc_type)*(YEAR(Tracking[Effektiv Datum])=selected_year)*(MONTH(Tracking[Effektiv Datum])=cc_month_number))</f>
        <v>0</v>
      </c>
      <c r="J87" s="111" t="e" cm="1">
        <f t="array" aca="1" ref="J87" ca="1">INDEX('Budget Planning'!$E:$FA,Einkommen_Total_Row,MATCH(DATE(selected_year,cc_month_number,1),'Budget Planning'!$E$9:$FA$9,0))</f>
        <v>#N/A</v>
      </c>
      <c r="K87" s="111" t="e">
        <f ca="1">cc_budget-cc_tracked</f>
        <v>#N/A</v>
      </c>
      <c r="L87" s="126" t="e">
        <f ca="1">cc_in_focus * cc_show_type * MIN(cc_tracked,cc_budget)</f>
        <v>#N/A</v>
      </c>
      <c r="M87" s="126" t="e">
        <f ca="1">cc_in_focus * cc_show_type * cc_show_remaining_budget * IF(cc_delta&gt;0,cc_delta,0)</f>
        <v>#N/A</v>
      </c>
      <c r="N87" s="126" t="e">
        <f ca="1">cc_in_focus * cc_show_type * IF(cc_delta&lt;0,ABS(cc_delta),0)</f>
        <v>#N/A</v>
      </c>
      <c r="O87" s="126" t="e">
        <f ca="1">NOT(cc_in_focus) * cc_show_type * MIN(cc_tracked,cc_budget)</f>
        <v>#N/A</v>
      </c>
      <c r="P87" s="126" t="e">
        <f ca="1">NOT(cc_in_focus) * cc_show_type * cc_show_remaining_budget * IF(cc_delta&gt;0,cc_delta,0)</f>
        <v>#N/A</v>
      </c>
      <c r="Q87" s="126" t="e">
        <f ca="1">NOT(cc_in_focus) * cc_show_type * IF(cc_delta&lt;0,ABS(cc_delta),0)</f>
        <v>#N/A</v>
      </c>
    </row>
    <row r="88" spans="3:17" x14ac:dyDescent="0.3">
      <c r="C88" s="152"/>
      <c r="D88" s="110" t="s">
        <v>24</v>
      </c>
      <c r="E88" s="110">
        <f t="shared" ref="E88" ca="1" si="58">MONTH(C87)</f>
        <v>8</v>
      </c>
      <c r="F88" s="110">
        <f ca="1">IF(selected_period="Jahresübersicht", 1, IF(selected_period=cc_month_number,1,0))</f>
        <v>0</v>
      </c>
      <c r="G88" s="110">
        <f t="shared" ref="G88" si="59">1*$D$46</f>
        <v>1</v>
      </c>
      <c r="H88" s="110">
        <f t="shared" si="3"/>
        <v>1</v>
      </c>
      <c r="I88" s="125" cm="1">
        <f t="array" aca="1" ref="I88" ca="1">SUM(Tracking[Betrag]*(Tracking[Type]=cc_type)*(YEAR(Tracking[Effektiv Datum])=selected_year)*(MONTH(Tracking[Effektiv Datum])=cc_month_number))</f>
        <v>0</v>
      </c>
      <c r="J88" s="111" t="e" cm="1">
        <f t="array" aca="1" ref="J88" ca="1">INDEX('Budget Planning'!$E:$FA,Fixkosten_Total_Row,MATCH(DATE(selected_year,cc_month_number,1),'Budget Planning'!$E$9:$FA$9,0))</f>
        <v>#N/A</v>
      </c>
      <c r="K88" s="111" t="e">
        <f ca="1">cc_budget-cc_tracked</f>
        <v>#N/A</v>
      </c>
      <c r="L88" s="126" t="e">
        <f ca="1">cc_in_focus * cc_show_type * MIN(cc_tracked,cc_budget)</f>
        <v>#N/A</v>
      </c>
      <c r="M88" s="126" t="e">
        <f ca="1">cc_in_focus * cc_show_type * cc_show_remaining_budget * IF(cc_delta&gt;0,cc_delta,0)</f>
        <v>#N/A</v>
      </c>
      <c r="N88" s="126" t="e">
        <f ca="1">cc_in_focus * cc_show_type * IF(cc_delta&lt;0,ABS(cc_delta),0)</f>
        <v>#N/A</v>
      </c>
      <c r="O88" s="126" t="e">
        <f ca="1">NOT(cc_in_focus) * cc_show_type * MIN(cc_tracked,cc_budget)</f>
        <v>#N/A</v>
      </c>
      <c r="P88" s="126" t="e">
        <f ca="1">NOT(cc_in_focus) * cc_show_type * cc_show_remaining_budget * IF(cc_delta&gt;0,cc_delta,0)</f>
        <v>#N/A</v>
      </c>
      <c r="Q88" s="126" t="e">
        <f ca="1">NOT(cc_in_focus) * cc_show_type * IF(cc_delta&lt;0,ABS(cc_delta),0)</f>
        <v>#N/A</v>
      </c>
    </row>
    <row r="89" spans="3:17" x14ac:dyDescent="0.3">
      <c r="C89" s="152"/>
      <c r="D89" s="110" t="s">
        <v>27</v>
      </c>
      <c r="E89" s="110">
        <f t="shared" ref="E89" ca="1" si="60">MONTH(C87)</f>
        <v>8</v>
      </c>
      <c r="F89" s="110">
        <f ca="1">IF(selected_period="Jahresübersicht", 1, IF(selected_period=cc_month_number,1,0))</f>
        <v>0</v>
      </c>
      <c r="G89" s="110">
        <f t="shared" ref="G89" si="61">1*$D$47</f>
        <v>1</v>
      </c>
      <c r="H89" s="110">
        <f t="shared" si="3"/>
        <v>1</v>
      </c>
      <c r="I89" s="125" cm="1">
        <f t="array" aca="1" ref="I89" ca="1">SUM(Tracking[Betrag]*(Tracking[Type]=cc_type)*(YEAR(Tracking[Effektiv Datum])=selected_year)*(MONTH(Tracking[Effektiv Datum])=cc_month_number))</f>
        <v>0</v>
      </c>
      <c r="J89" s="111" t="e" cm="1">
        <f t="array" aca="1" ref="J89" ca="1">INDEX('Budget Planning'!$E:$FA,Variablekosten_Total_row,MATCH(DATE(selected_year,cc_month_number,1),'Budget Planning'!$E$9:$FA$9,0))</f>
        <v>#N/A</v>
      </c>
      <c r="K89" s="111" t="e">
        <f ca="1">cc_budget-cc_tracked</f>
        <v>#N/A</v>
      </c>
      <c r="L89" s="126" t="e">
        <f ca="1">cc_in_focus * cc_show_type * MIN(cc_tracked,cc_budget)</f>
        <v>#N/A</v>
      </c>
      <c r="M89" s="126" t="e">
        <f ca="1">cc_in_focus * cc_show_type * cc_show_remaining_budget * IF(cc_delta&gt;0,cc_delta,0)</f>
        <v>#N/A</v>
      </c>
      <c r="N89" s="126" t="e">
        <f ca="1">cc_in_focus * cc_show_type * IF(cc_delta&lt;0,ABS(cc_delta),0)</f>
        <v>#N/A</v>
      </c>
      <c r="O89" s="126" t="e">
        <f ca="1">NOT(cc_in_focus) * cc_show_type * MIN(cc_tracked,cc_budget)</f>
        <v>#N/A</v>
      </c>
      <c r="P89" s="126" t="e">
        <f ca="1">NOT(cc_in_focus) * cc_show_type * cc_show_remaining_budget * IF(cc_delta&gt;0,cc_delta,0)</f>
        <v>#N/A</v>
      </c>
      <c r="Q89" s="126" t="e">
        <f ca="1">NOT(cc_in_focus) * cc_show_type * IF(cc_delta&lt;0,ABS(cc_delta),0)</f>
        <v>#N/A</v>
      </c>
    </row>
    <row r="90" spans="3:17" x14ac:dyDescent="0.3">
      <c r="C90" s="152"/>
      <c r="D90" s="110" t="s">
        <v>29</v>
      </c>
      <c r="E90" s="110">
        <f t="shared" ref="E90" ca="1" si="62">MONTH(C87)</f>
        <v>8</v>
      </c>
      <c r="F90" s="110">
        <f ca="1">IF(selected_period="Jahresübersicht", 1, IF(selected_period=cc_month_number,1,0))</f>
        <v>0</v>
      </c>
      <c r="G90" s="110">
        <f t="shared" ref="G90" si="63">1*$D$48</f>
        <v>1</v>
      </c>
      <c r="H90" s="110">
        <f t="shared" si="3"/>
        <v>1</v>
      </c>
      <c r="I90" s="125" cm="1">
        <f t="array" aca="1" ref="I90" ca="1">SUM(Tracking[Betrag]*(Tracking[Type]=cc_type)*(YEAR(Tracking[Effektiv Datum])=selected_year)*(MONTH(Tracking[Effektiv Datum])=cc_month_number))</f>
        <v>0</v>
      </c>
      <c r="J90" s="111" t="e" cm="1">
        <f t="array" aca="1" ref="J90" ca="1">INDEX('Budget Planning'!$E:$FA,Investment_Total_Row,MATCH(DATE(selected_year,cc_month_number,1),'Budget Planning'!$E$9:$FA$9,0))</f>
        <v>#N/A</v>
      </c>
      <c r="K90" s="111" t="e">
        <f ca="1">cc_budget-cc_tracked</f>
        <v>#N/A</v>
      </c>
      <c r="L90" s="126" t="e">
        <f ca="1">cc_in_focus * cc_show_type * MIN(cc_tracked,cc_budget)</f>
        <v>#N/A</v>
      </c>
      <c r="M90" s="126" t="e">
        <f ca="1">cc_in_focus * cc_show_type * cc_show_remaining_budget * IF(cc_delta&gt;0,cc_delta,0)</f>
        <v>#N/A</v>
      </c>
      <c r="N90" s="126" t="e">
        <f ca="1">cc_in_focus * cc_show_type * IF(cc_delta&lt;0,ABS(cc_delta),0)</f>
        <v>#N/A</v>
      </c>
      <c r="O90" s="126" t="e">
        <f ca="1">NOT(cc_in_focus) * cc_show_type * MIN(cc_tracked,cc_budget)</f>
        <v>#N/A</v>
      </c>
      <c r="P90" s="126" t="e">
        <f ca="1">NOT(cc_in_focus) * cc_show_type * cc_show_remaining_budget * IF(cc_delta&gt;0,cc_delta,0)</f>
        <v>#N/A</v>
      </c>
      <c r="Q90" s="126" t="e">
        <f ca="1">NOT(cc_in_focus) * cc_show_type * IF(cc_delta&lt;0,ABS(cc_delta),0)</f>
        <v>#N/A</v>
      </c>
    </row>
    <row r="91" spans="3:17" x14ac:dyDescent="0.3">
      <c r="C91" s="152"/>
      <c r="D91" s="127"/>
      <c r="E91" s="127"/>
      <c r="F91" s="127"/>
      <c r="G91" s="127"/>
      <c r="H91" s="127"/>
      <c r="I91" s="127"/>
      <c r="J91" s="127"/>
      <c r="K91" s="127"/>
      <c r="L91" s="127"/>
      <c r="M91" s="127"/>
      <c r="N91" s="127"/>
      <c r="O91" s="127"/>
      <c r="P91" s="127"/>
      <c r="Q91" s="127"/>
    </row>
    <row r="92" spans="3:17" x14ac:dyDescent="0.3">
      <c r="C92" s="151">
        <f ca="1">DATE(selected_year,9,1)</f>
        <v>46266</v>
      </c>
      <c r="D92" s="110" t="s">
        <v>20</v>
      </c>
      <c r="E92" s="110">
        <f t="shared" ref="E92" ca="1" si="64">MONTH(C92)</f>
        <v>9</v>
      </c>
      <c r="F92" s="110">
        <f ca="1">IF(selected_period="Jahresübersicht", 1, IF(selected_period=cc_month_number,1,0))</f>
        <v>0</v>
      </c>
      <c r="G92" s="110">
        <f t="shared" ref="G92" si="65">1*$D$45</f>
        <v>1</v>
      </c>
      <c r="H92" s="110">
        <f t="shared" ref="H92" si="66">1*$D$49</f>
        <v>1</v>
      </c>
      <c r="I92" s="125" cm="1">
        <f t="array" aca="1" ref="I92" ca="1">SUM(Tracking[Betrag]*(Tracking[Type]=cc_type)*(YEAR(Tracking[Effektiv Datum])=selected_year)*(MONTH(Tracking[Effektiv Datum])=cc_month_number))</f>
        <v>0</v>
      </c>
      <c r="J92" s="111" t="e" cm="1">
        <f t="array" aca="1" ref="J92" ca="1">INDEX('Budget Planning'!$E:$FA,Einkommen_Total_Row,MATCH(DATE(selected_year,cc_month_number,1),'Budget Planning'!$E$9:$FA$9,0))</f>
        <v>#N/A</v>
      </c>
      <c r="K92" s="111" t="e">
        <f ca="1">cc_budget-cc_tracked</f>
        <v>#N/A</v>
      </c>
      <c r="L92" s="126" t="e">
        <f ca="1">cc_in_focus * cc_show_type * MIN(cc_tracked,cc_budget)</f>
        <v>#N/A</v>
      </c>
      <c r="M92" s="126" t="e">
        <f ca="1">cc_in_focus * cc_show_type * cc_show_remaining_budget * IF(cc_delta&gt;0,cc_delta,0)</f>
        <v>#N/A</v>
      </c>
      <c r="N92" s="126" t="e">
        <f ca="1">cc_in_focus * cc_show_type * IF(cc_delta&lt;0,ABS(cc_delta),0)</f>
        <v>#N/A</v>
      </c>
      <c r="O92" s="126" t="e">
        <f ca="1">NOT(cc_in_focus) * cc_show_type * MIN(cc_tracked,cc_budget)</f>
        <v>#N/A</v>
      </c>
      <c r="P92" s="126" t="e">
        <f ca="1">NOT(cc_in_focus) * cc_show_type * cc_show_remaining_budget * IF(cc_delta&gt;0,cc_delta,0)</f>
        <v>#N/A</v>
      </c>
      <c r="Q92" s="126" t="e">
        <f ca="1">NOT(cc_in_focus) * cc_show_type * IF(cc_delta&lt;0,ABS(cc_delta),0)</f>
        <v>#N/A</v>
      </c>
    </row>
    <row r="93" spans="3:17" x14ac:dyDescent="0.3">
      <c r="C93" s="152"/>
      <c r="D93" s="110" t="s">
        <v>24</v>
      </c>
      <c r="E93" s="110">
        <f t="shared" ref="E93" ca="1" si="67">MONTH(C92)</f>
        <v>9</v>
      </c>
      <c r="F93" s="110">
        <f ca="1">IF(selected_period="Jahresübersicht", 1, IF(selected_period=cc_month_number,1,0))</f>
        <v>0</v>
      </c>
      <c r="G93" s="110">
        <f t="shared" ref="G93" si="68">1*$D$46</f>
        <v>1</v>
      </c>
      <c r="H93" s="110">
        <f t="shared" si="3"/>
        <v>1</v>
      </c>
      <c r="I93" s="125" cm="1">
        <f t="array" aca="1" ref="I93" ca="1">SUM(Tracking[Betrag]*(Tracking[Type]=cc_type)*(YEAR(Tracking[Effektiv Datum])=selected_year)*(MONTH(Tracking[Effektiv Datum])=cc_month_number))</f>
        <v>0</v>
      </c>
      <c r="J93" s="111" t="e" cm="1">
        <f t="array" aca="1" ref="J93" ca="1">INDEX('Budget Planning'!$E:$FA,Fixkosten_Total_Row,MATCH(DATE(selected_year,cc_month_number,1),'Budget Planning'!$E$9:$FA$9,0))</f>
        <v>#N/A</v>
      </c>
      <c r="K93" s="111" t="e">
        <f ca="1">cc_budget-cc_tracked</f>
        <v>#N/A</v>
      </c>
      <c r="L93" s="126" t="e">
        <f ca="1">cc_in_focus * cc_show_type * MIN(cc_tracked,cc_budget)</f>
        <v>#N/A</v>
      </c>
      <c r="M93" s="126" t="e">
        <f ca="1">cc_in_focus * cc_show_type * cc_show_remaining_budget * IF(cc_delta&gt;0,cc_delta,0)</f>
        <v>#N/A</v>
      </c>
      <c r="N93" s="126" t="e">
        <f ca="1">cc_in_focus * cc_show_type * IF(cc_delta&lt;0,ABS(cc_delta),0)</f>
        <v>#N/A</v>
      </c>
      <c r="O93" s="126" t="e">
        <f ca="1">NOT(cc_in_focus) * cc_show_type * MIN(cc_tracked,cc_budget)</f>
        <v>#N/A</v>
      </c>
      <c r="P93" s="126" t="e">
        <f ca="1">NOT(cc_in_focus) * cc_show_type * cc_show_remaining_budget * IF(cc_delta&gt;0,cc_delta,0)</f>
        <v>#N/A</v>
      </c>
      <c r="Q93" s="126" t="e">
        <f ca="1">NOT(cc_in_focus) * cc_show_type * IF(cc_delta&lt;0,ABS(cc_delta),0)</f>
        <v>#N/A</v>
      </c>
    </row>
    <row r="94" spans="3:17" x14ac:dyDescent="0.3">
      <c r="C94" s="152"/>
      <c r="D94" s="110" t="s">
        <v>27</v>
      </c>
      <c r="E94" s="110">
        <f t="shared" ref="E94" ca="1" si="69">MONTH(C92)</f>
        <v>9</v>
      </c>
      <c r="F94" s="110">
        <f ca="1">IF(selected_period="Jahresübersicht", 1, IF(selected_period=cc_month_number,1,0))</f>
        <v>0</v>
      </c>
      <c r="G94" s="110">
        <f t="shared" ref="G94" si="70">1*$D$47</f>
        <v>1</v>
      </c>
      <c r="H94" s="110">
        <f t="shared" si="3"/>
        <v>1</v>
      </c>
      <c r="I94" s="125" cm="1">
        <f t="array" aca="1" ref="I94" ca="1">SUM(Tracking[Betrag]*(Tracking[Type]=cc_type)*(YEAR(Tracking[Effektiv Datum])=selected_year)*(MONTH(Tracking[Effektiv Datum])=cc_month_number))</f>
        <v>0</v>
      </c>
      <c r="J94" s="111" t="e" cm="1">
        <f t="array" aca="1" ref="J94" ca="1">INDEX('Budget Planning'!$E:$FA,Variablekosten_Total_row,MATCH(DATE(selected_year,cc_month_number,1),'Budget Planning'!$E$9:$FA$9,0))</f>
        <v>#N/A</v>
      </c>
      <c r="K94" s="111" t="e">
        <f ca="1">cc_budget-cc_tracked</f>
        <v>#N/A</v>
      </c>
      <c r="L94" s="126" t="e">
        <f ca="1">cc_in_focus * cc_show_type * MIN(cc_tracked,cc_budget)</f>
        <v>#N/A</v>
      </c>
      <c r="M94" s="126" t="e">
        <f ca="1">cc_in_focus * cc_show_type * cc_show_remaining_budget * IF(cc_delta&gt;0,cc_delta,0)</f>
        <v>#N/A</v>
      </c>
      <c r="N94" s="126" t="e">
        <f ca="1">cc_in_focus * cc_show_type * IF(cc_delta&lt;0,ABS(cc_delta),0)</f>
        <v>#N/A</v>
      </c>
      <c r="O94" s="126" t="e">
        <f ca="1">NOT(cc_in_focus) * cc_show_type * MIN(cc_tracked,cc_budget)</f>
        <v>#N/A</v>
      </c>
      <c r="P94" s="126" t="e">
        <f ca="1">NOT(cc_in_focus) * cc_show_type * cc_show_remaining_budget * IF(cc_delta&gt;0,cc_delta,0)</f>
        <v>#N/A</v>
      </c>
      <c r="Q94" s="126" t="e">
        <f ca="1">NOT(cc_in_focus) * cc_show_type * IF(cc_delta&lt;0,ABS(cc_delta),0)</f>
        <v>#N/A</v>
      </c>
    </row>
    <row r="95" spans="3:17" x14ac:dyDescent="0.3">
      <c r="C95" s="152"/>
      <c r="D95" s="110" t="s">
        <v>29</v>
      </c>
      <c r="E95" s="110">
        <f t="shared" ref="E95" ca="1" si="71">MONTH(C92)</f>
        <v>9</v>
      </c>
      <c r="F95" s="110">
        <f ca="1">IF(selected_period="Jahresübersicht", 1, IF(selected_period=cc_month_number,1,0))</f>
        <v>0</v>
      </c>
      <c r="G95" s="110">
        <f t="shared" ref="G95" si="72">1*$D$48</f>
        <v>1</v>
      </c>
      <c r="H95" s="110">
        <f t="shared" si="3"/>
        <v>1</v>
      </c>
      <c r="I95" s="125" cm="1">
        <f t="array" aca="1" ref="I95" ca="1">SUM(Tracking[Betrag]*(Tracking[Type]=cc_type)*(YEAR(Tracking[Effektiv Datum])=selected_year)*(MONTH(Tracking[Effektiv Datum])=cc_month_number))</f>
        <v>0</v>
      </c>
      <c r="J95" s="111" t="e" cm="1">
        <f t="array" aca="1" ref="J95" ca="1">INDEX('Budget Planning'!$E:$FA,Investment_Total_Row,MATCH(DATE(selected_year,cc_month_number,1),'Budget Planning'!$E$9:$FA$9,0))</f>
        <v>#N/A</v>
      </c>
      <c r="K95" s="111" t="e">
        <f ca="1">cc_budget-cc_tracked</f>
        <v>#N/A</v>
      </c>
      <c r="L95" s="126" t="e">
        <f ca="1">cc_in_focus * cc_show_type * MIN(cc_tracked,cc_budget)</f>
        <v>#N/A</v>
      </c>
      <c r="M95" s="126" t="e">
        <f ca="1">cc_in_focus * cc_show_type * cc_show_remaining_budget * IF(cc_delta&gt;0,cc_delta,0)</f>
        <v>#N/A</v>
      </c>
      <c r="N95" s="126" t="e">
        <f ca="1">cc_in_focus * cc_show_type * IF(cc_delta&lt;0,ABS(cc_delta),0)</f>
        <v>#N/A</v>
      </c>
      <c r="O95" s="126" t="e">
        <f ca="1">NOT(cc_in_focus) * cc_show_type * MIN(cc_tracked,cc_budget)</f>
        <v>#N/A</v>
      </c>
      <c r="P95" s="126" t="e">
        <f ca="1">NOT(cc_in_focus) * cc_show_type * cc_show_remaining_budget * IF(cc_delta&gt;0,cc_delta,0)</f>
        <v>#N/A</v>
      </c>
      <c r="Q95" s="126" t="e">
        <f ca="1">NOT(cc_in_focus) * cc_show_type * IF(cc_delta&lt;0,ABS(cc_delta),0)</f>
        <v>#N/A</v>
      </c>
    </row>
    <row r="96" spans="3:17" x14ac:dyDescent="0.3">
      <c r="C96" s="152"/>
      <c r="D96" s="127"/>
      <c r="E96" s="127"/>
      <c r="F96" s="127"/>
      <c r="G96" s="127"/>
      <c r="H96" s="127"/>
      <c r="I96" s="127"/>
      <c r="J96" s="127"/>
      <c r="K96" s="127"/>
      <c r="L96" s="127"/>
      <c r="M96" s="127"/>
      <c r="N96" s="127"/>
      <c r="O96" s="127"/>
      <c r="P96" s="127"/>
      <c r="Q96" s="127"/>
    </row>
    <row r="97" spans="3:17" x14ac:dyDescent="0.3">
      <c r="C97" s="151">
        <f ca="1">DATE(selected_year,10,1)</f>
        <v>46296</v>
      </c>
      <c r="D97" s="110" t="s">
        <v>20</v>
      </c>
      <c r="E97" s="110">
        <f t="shared" ref="E97" ca="1" si="73">MONTH(C97)</f>
        <v>10</v>
      </c>
      <c r="F97" s="110">
        <f ca="1">IF(selected_period="Jahresübersicht", 1, IF(selected_period=cc_month_number,1,0))</f>
        <v>0</v>
      </c>
      <c r="G97" s="110">
        <f t="shared" ref="G97" si="74">1*$D$45</f>
        <v>1</v>
      </c>
      <c r="H97" s="110">
        <f t="shared" ref="H97" si="75">1*$D$49</f>
        <v>1</v>
      </c>
      <c r="I97" s="125" cm="1">
        <f t="array" aca="1" ref="I97" ca="1">SUM(Tracking[Betrag]*(Tracking[Type]=cc_type)*(YEAR(Tracking[Effektiv Datum])=selected_year)*(MONTH(Tracking[Effektiv Datum])=cc_month_number))</f>
        <v>0</v>
      </c>
      <c r="J97" s="111" t="e" cm="1">
        <f t="array" aca="1" ref="J97" ca="1">INDEX('Budget Planning'!$E:$FA,Einkommen_Total_Row,MATCH(DATE(selected_year,cc_month_number,1),'Budget Planning'!$E$9:$FA$9,0))</f>
        <v>#N/A</v>
      </c>
      <c r="K97" s="111" t="e">
        <f ca="1">cc_budget-cc_tracked</f>
        <v>#N/A</v>
      </c>
      <c r="L97" s="126" t="e">
        <f ca="1">cc_in_focus * cc_show_type * MIN(cc_tracked,cc_budget)</f>
        <v>#N/A</v>
      </c>
      <c r="M97" s="126" t="e">
        <f ca="1">cc_in_focus * cc_show_type * cc_show_remaining_budget * IF(cc_delta&gt;0,cc_delta,0)</f>
        <v>#N/A</v>
      </c>
      <c r="N97" s="126" t="e">
        <f ca="1">cc_in_focus * cc_show_type * IF(cc_delta&lt;0,ABS(cc_delta),0)</f>
        <v>#N/A</v>
      </c>
      <c r="O97" s="126" t="e">
        <f ca="1">NOT(cc_in_focus) * cc_show_type * MIN(cc_tracked,cc_budget)</f>
        <v>#N/A</v>
      </c>
      <c r="P97" s="126" t="e">
        <f ca="1">NOT(cc_in_focus) * cc_show_type * cc_show_remaining_budget * IF(cc_delta&gt;0,cc_delta,0)</f>
        <v>#N/A</v>
      </c>
      <c r="Q97" s="126" t="e">
        <f ca="1">NOT(cc_in_focus) * cc_show_type * IF(cc_delta&lt;0,ABS(cc_delta),0)</f>
        <v>#N/A</v>
      </c>
    </row>
    <row r="98" spans="3:17" x14ac:dyDescent="0.3">
      <c r="C98" s="152"/>
      <c r="D98" s="110" t="s">
        <v>24</v>
      </c>
      <c r="E98" s="110">
        <f t="shared" ref="E98" ca="1" si="76">MONTH(C97)</f>
        <v>10</v>
      </c>
      <c r="F98" s="110">
        <f ca="1">IF(selected_period="Jahresübersicht", 1, IF(selected_period=cc_month_number,1,0))</f>
        <v>0</v>
      </c>
      <c r="G98" s="110">
        <f t="shared" ref="G98" si="77">1*$D$46</f>
        <v>1</v>
      </c>
      <c r="H98" s="110">
        <f t="shared" si="3"/>
        <v>1</v>
      </c>
      <c r="I98" s="125" cm="1">
        <f t="array" aca="1" ref="I98" ca="1">SUM(Tracking[Betrag]*(Tracking[Type]=cc_type)*(YEAR(Tracking[Effektiv Datum])=selected_year)*(MONTH(Tracking[Effektiv Datum])=cc_month_number))</f>
        <v>0</v>
      </c>
      <c r="J98" s="111" t="e" cm="1">
        <f t="array" aca="1" ref="J98" ca="1">INDEX('Budget Planning'!$E:$FA,Fixkosten_Total_Row,MATCH(DATE(selected_year,cc_month_number,1),'Budget Planning'!$E$9:$FA$9,0))</f>
        <v>#N/A</v>
      </c>
      <c r="K98" s="111" t="e">
        <f ca="1">cc_budget-cc_tracked</f>
        <v>#N/A</v>
      </c>
      <c r="L98" s="126" t="e">
        <f ca="1">cc_in_focus * cc_show_type * MIN(cc_tracked,cc_budget)</f>
        <v>#N/A</v>
      </c>
      <c r="M98" s="126" t="e">
        <f ca="1">cc_in_focus * cc_show_type * cc_show_remaining_budget * IF(cc_delta&gt;0,cc_delta,0)</f>
        <v>#N/A</v>
      </c>
      <c r="N98" s="126" t="e">
        <f ca="1">cc_in_focus * cc_show_type * IF(cc_delta&lt;0,ABS(cc_delta),0)</f>
        <v>#N/A</v>
      </c>
      <c r="O98" s="126" t="e">
        <f ca="1">NOT(cc_in_focus) * cc_show_type * MIN(cc_tracked,cc_budget)</f>
        <v>#N/A</v>
      </c>
      <c r="P98" s="126" t="e">
        <f ca="1">NOT(cc_in_focus) * cc_show_type * cc_show_remaining_budget * IF(cc_delta&gt;0,cc_delta,0)</f>
        <v>#N/A</v>
      </c>
      <c r="Q98" s="126" t="e">
        <f ca="1">NOT(cc_in_focus) * cc_show_type * IF(cc_delta&lt;0,ABS(cc_delta),0)</f>
        <v>#N/A</v>
      </c>
    </row>
    <row r="99" spans="3:17" x14ac:dyDescent="0.3">
      <c r="C99" s="152"/>
      <c r="D99" s="110" t="s">
        <v>27</v>
      </c>
      <c r="E99" s="110">
        <f t="shared" ref="E99" ca="1" si="78">MONTH(C97)</f>
        <v>10</v>
      </c>
      <c r="F99" s="110">
        <f ca="1">IF(selected_period="Jahresübersicht", 1, IF(selected_period=cc_month_number,1,0))</f>
        <v>0</v>
      </c>
      <c r="G99" s="110">
        <f t="shared" ref="G99" si="79">1*$D$47</f>
        <v>1</v>
      </c>
      <c r="H99" s="110">
        <f t="shared" si="3"/>
        <v>1</v>
      </c>
      <c r="I99" s="125" cm="1">
        <f t="array" aca="1" ref="I99" ca="1">SUM(Tracking[Betrag]*(Tracking[Type]=cc_type)*(YEAR(Tracking[Effektiv Datum])=selected_year)*(MONTH(Tracking[Effektiv Datum])=cc_month_number))</f>
        <v>0</v>
      </c>
      <c r="J99" s="111" t="e" cm="1">
        <f t="array" aca="1" ref="J99" ca="1">INDEX('Budget Planning'!$E:$FA,Variablekosten_Total_row,MATCH(DATE(selected_year,cc_month_number,1),'Budget Planning'!$E$9:$FA$9,0))</f>
        <v>#N/A</v>
      </c>
      <c r="K99" s="111" t="e">
        <f ca="1">cc_budget-cc_tracked</f>
        <v>#N/A</v>
      </c>
      <c r="L99" s="126" t="e">
        <f ca="1">cc_in_focus * cc_show_type * MIN(cc_tracked,cc_budget)</f>
        <v>#N/A</v>
      </c>
      <c r="M99" s="126" t="e">
        <f ca="1">cc_in_focus * cc_show_type * cc_show_remaining_budget * IF(cc_delta&gt;0,cc_delta,0)</f>
        <v>#N/A</v>
      </c>
      <c r="N99" s="126" t="e">
        <f ca="1">cc_in_focus * cc_show_type * IF(cc_delta&lt;0,ABS(cc_delta),0)</f>
        <v>#N/A</v>
      </c>
      <c r="O99" s="126" t="e">
        <f ca="1">NOT(cc_in_focus) * cc_show_type * MIN(cc_tracked,cc_budget)</f>
        <v>#N/A</v>
      </c>
      <c r="P99" s="126" t="e">
        <f ca="1">NOT(cc_in_focus) * cc_show_type * cc_show_remaining_budget * IF(cc_delta&gt;0,cc_delta,0)</f>
        <v>#N/A</v>
      </c>
      <c r="Q99" s="126" t="e">
        <f ca="1">NOT(cc_in_focus) * cc_show_type * IF(cc_delta&lt;0,ABS(cc_delta),0)</f>
        <v>#N/A</v>
      </c>
    </row>
    <row r="100" spans="3:17" x14ac:dyDescent="0.3">
      <c r="C100" s="152"/>
      <c r="D100" s="110" t="s">
        <v>29</v>
      </c>
      <c r="E100" s="110">
        <f t="shared" ref="E100" ca="1" si="80">MONTH(C97)</f>
        <v>10</v>
      </c>
      <c r="F100" s="110">
        <f ca="1">IF(selected_period="Jahresübersicht", 1, IF(selected_period=cc_month_number,1,0))</f>
        <v>0</v>
      </c>
      <c r="G100" s="110">
        <f t="shared" ref="G100" si="81">1*$D$48</f>
        <v>1</v>
      </c>
      <c r="H100" s="110">
        <f t="shared" si="3"/>
        <v>1</v>
      </c>
      <c r="I100" s="125" cm="1">
        <f t="array" aca="1" ref="I100" ca="1">SUM(Tracking[Betrag]*(Tracking[Type]=cc_type)*(YEAR(Tracking[Effektiv Datum])=selected_year)*(MONTH(Tracking[Effektiv Datum])=cc_month_number))</f>
        <v>0</v>
      </c>
      <c r="J100" s="111" t="e" cm="1">
        <f t="array" aca="1" ref="J100" ca="1">INDEX('Budget Planning'!$E:$FA,Investment_Total_Row,MATCH(DATE(selected_year,cc_month_number,1),'Budget Planning'!$E$9:$FA$9,0))</f>
        <v>#N/A</v>
      </c>
      <c r="K100" s="111" t="e">
        <f ca="1">cc_budget-cc_tracked</f>
        <v>#N/A</v>
      </c>
      <c r="L100" s="126" t="e">
        <f ca="1">cc_in_focus * cc_show_type * MIN(cc_tracked,cc_budget)</f>
        <v>#N/A</v>
      </c>
      <c r="M100" s="126" t="e">
        <f ca="1">cc_in_focus * cc_show_type * cc_show_remaining_budget * IF(cc_delta&gt;0,cc_delta,0)</f>
        <v>#N/A</v>
      </c>
      <c r="N100" s="126" t="e">
        <f ca="1">cc_in_focus * cc_show_type * IF(cc_delta&lt;0,ABS(cc_delta),0)</f>
        <v>#N/A</v>
      </c>
      <c r="O100" s="126" t="e">
        <f ca="1">NOT(cc_in_focus) * cc_show_type * MIN(cc_tracked,cc_budget)</f>
        <v>#N/A</v>
      </c>
      <c r="P100" s="126" t="e">
        <f ca="1">NOT(cc_in_focus) * cc_show_type * cc_show_remaining_budget * IF(cc_delta&gt;0,cc_delta,0)</f>
        <v>#N/A</v>
      </c>
      <c r="Q100" s="126" t="e">
        <f ca="1">NOT(cc_in_focus) * cc_show_type * IF(cc_delta&lt;0,ABS(cc_delta),0)</f>
        <v>#N/A</v>
      </c>
    </row>
    <row r="101" spans="3:17" x14ac:dyDescent="0.3">
      <c r="C101" s="152"/>
      <c r="D101" s="127"/>
      <c r="E101" s="127"/>
      <c r="F101" s="127"/>
      <c r="G101" s="127"/>
      <c r="H101" s="127"/>
      <c r="I101" s="127"/>
      <c r="J101" s="127"/>
      <c r="K101" s="127"/>
      <c r="L101" s="127"/>
      <c r="M101" s="127"/>
      <c r="N101" s="127"/>
      <c r="O101" s="127"/>
      <c r="P101" s="127"/>
      <c r="Q101" s="127"/>
    </row>
    <row r="102" spans="3:17" x14ac:dyDescent="0.3">
      <c r="C102" s="151">
        <f ca="1">DATE(selected_year,11,1)</f>
        <v>46327</v>
      </c>
      <c r="D102" s="110" t="s">
        <v>20</v>
      </c>
      <c r="E102" s="110">
        <f t="shared" ref="E102" ca="1" si="82">MONTH(C102)</f>
        <v>11</v>
      </c>
      <c r="F102" s="110">
        <f ca="1">IF(selected_period="Jahresübersicht", 1, IF(selected_period=cc_month_number,1,0))</f>
        <v>0</v>
      </c>
      <c r="G102" s="110">
        <f t="shared" ref="G102" si="83">1*$D$45</f>
        <v>1</v>
      </c>
      <c r="H102" s="110">
        <f t="shared" ref="H102" si="84">1*$D$49</f>
        <v>1</v>
      </c>
      <c r="I102" s="125" cm="1">
        <f t="array" aca="1" ref="I102" ca="1">SUM(Tracking[Betrag]*(Tracking[Type]=cc_type)*(YEAR(Tracking[Effektiv Datum])=selected_year)*(MONTH(Tracking[Effektiv Datum])=cc_month_number))</f>
        <v>0</v>
      </c>
      <c r="J102" s="111" t="e" cm="1">
        <f t="array" aca="1" ref="J102" ca="1">INDEX('Budget Planning'!$E:$FA,Einkommen_Total_Row,MATCH(DATE(selected_year,cc_month_number,1),'Budget Planning'!$E$9:$FA$9,0))</f>
        <v>#N/A</v>
      </c>
      <c r="K102" s="111" t="e">
        <f ca="1">cc_budget-cc_tracked</f>
        <v>#N/A</v>
      </c>
      <c r="L102" s="126" t="e">
        <f ca="1">cc_in_focus * cc_show_type * MIN(cc_tracked,cc_budget)</f>
        <v>#N/A</v>
      </c>
      <c r="M102" s="126" t="e">
        <f ca="1">cc_in_focus * cc_show_type * cc_show_remaining_budget * IF(cc_delta&gt;0,cc_delta,0)</f>
        <v>#N/A</v>
      </c>
      <c r="N102" s="126" t="e">
        <f ca="1">cc_in_focus * cc_show_type * IF(cc_delta&lt;0,ABS(cc_delta),0)</f>
        <v>#N/A</v>
      </c>
      <c r="O102" s="126" t="e">
        <f ca="1">NOT(cc_in_focus) * cc_show_type * MIN(cc_tracked,cc_budget)</f>
        <v>#N/A</v>
      </c>
      <c r="P102" s="126" t="e">
        <f ca="1">NOT(cc_in_focus) * cc_show_type * cc_show_remaining_budget * IF(cc_delta&gt;0,cc_delta,0)</f>
        <v>#N/A</v>
      </c>
      <c r="Q102" s="126" t="e">
        <f ca="1">NOT(cc_in_focus) * cc_show_type * IF(cc_delta&lt;0,ABS(cc_delta),0)</f>
        <v>#N/A</v>
      </c>
    </row>
    <row r="103" spans="3:17" x14ac:dyDescent="0.3">
      <c r="C103" s="152"/>
      <c r="D103" s="110" t="s">
        <v>24</v>
      </c>
      <c r="E103" s="110">
        <f t="shared" ref="E103" ca="1" si="85">MONTH(C102)</f>
        <v>11</v>
      </c>
      <c r="F103" s="110">
        <f ca="1">IF(selected_period="Jahresübersicht", 1, IF(selected_period=cc_month_number,1,0))</f>
        <v>0</v>
      </c>
      <c r="G103" s="110">
        <f t="shared" ref="G103" si="86">1*$D$46</f>
        <v>1</v>
      </c>
      <c r="H103" s="110">
        <f t="shared" si="3"/>
        <v>1</v>
      </c>
      <c r="I103" s="125" cm="1">
        <f t="array" aca="1" ref="I103" ca="1">SUM(Tracking[Betrag]*(Tracking[Type]=cc_type)*(YEAR(Tracking[Effektiv Datum])=selected_year)*(MONTH(Tracking[Effektiv Datum])=cc_month_number))</f>
        <v>0</v>
      </c>
      <c r="J103" s="111" t="e" cm="1">
        <f t="array" aca="1" ref="J103" ca="1">INDEX('Budget Planning'!$E:$FA,Fixkosten_Total_Row,MATCH(DATE(selected_year,cc_month_number,1),'Budget Planning'!$E$9:$FA$9,0))</f>
        <v>#N/A</v>
      </c>
      <c r="K103" s="111" t="e">
        <f ca="1">cc_budget-cc_tracked</f>
        <v>#N/A</v>
      </c>
      <c r="L103" s="126" t="e">
        <f ca="1">cc_in_focus * cc_show_type * MIN(cc_tracked,cc_budget)</f>
        <v>#N/A</v>
      </c>
      <c r="M103" s="126" t="e">
        <f ca="1">cc_in_focus * cc_show_type * cc_show_remaining_budget * IF(cc_delta&gt;0,cc_delta,0)</f>
        <v>#N/A</v>
      </c>
      <c r="N103" s="126" t="e">
        <f ca="1">cc_in_focus * cc_show_type * IF(cc_delta&lt;0,ABS(cc_delta),0)</f>
        <v>#N/A</v>
      </c>
      <c r="O103" s="126" t="e">
        <f ca="1">NOT(cc_in_focus) * cc_show_type * MIN(cc_tracked,cc_budget)</f>
        <v>#N/A</v>
      </c>
      <c r="P103" s="126" t="e">
        <f ca="1">NOT(cc_in_focus) * cc_show_type * cc_show_remaining_budget * IF(cc_delta&gt;0,cc_delta,0)</f>
        <v>#N/A</v>
      </c>
      <c r="Q103" s="126" t="e">
        <f ca="1">NOT(cc_in_focus) * cc_show_type * IF(cc_delta&lt;0,ABS(cc_delta),0)</f>
        <v>#N/A</v>
      </c>
    </row>
    <row r="104" spans="3:17" x14ac:dyDescent="0.3">
      <c r="C104" s="152"/>
      <c r="D104" s="110" t="s">
        <v>27</v>
      </c>
      <c r="E104" s="110">
        <f t="shared" ref="E104" ca="1" si="87">MONTH(C102)</f>
        <v>11</v>
      </c>
      <c r="F104" s="110">
        <f ca="1">IF(selected_period="Jahresübersicht", 1, IF(selected_period=cc_month_number,1,0))</f>
        <v>0</v>
      </c>
      <c r="G104" s="110">
        <f t="shared" ref="G104" si="88">1*$D$47</f>
        <v>1</v>
      </c>
      <c r="H104" s="110">
        <f t="shared" si="3"/>
        <v>1</v>
      </c>
      <c r="I104" s="125" cm="1">
        <f t="array" aca="1" ref="I104" ca="1">SUM(Tracking[Betrag]*(Tracking[Type]=cc_type)*(YEAR(Tracking[Effektiv Datum])=selected_year)*(MONTH(Tracking[Effektiv Datum])=cc_month_number))</f>
        <v>0</v>
      </c>
      <c r="J104" s="111" t="e" cm="1">
        <f t="array" aca="1" ref="J104" ca="1">INDEX('Budget Planning'!$E:$FA,Variablekosten_Total_row,MATCH(DATE(selected_year,cc_month_number,1),'Budget Planning'!$E$9:$FA$9,0))</f>
        <v>#N/A</v>
      </c>
      <c r="K104" s="111" t="e">
        <f ca="1">cc_budget-cc_tracked</f>
        <v>#N/A</v>
      </c>
      <c r="L104" s="126" t="e">
        <f ca="1">cc_in_focus * cc_show_type * MIN(cc_tracked,cc_budget)</f>
        <v>#N/A</v>
      </c>
      <c r="M104" s="126" t="e">
        <f ca="1">cc_in_focus * cc_show_type * cc_show_remaining_budget * IF(cc_delta&gt;0,cc_delta,0)</f>
        <v>#N/A</v>
      </c>
      <c r="N104" s="126" t="e">
        <f ca="1">cc_in_focus * cc_show_type * IF(cc_delta&lt;0,ABS(cc_delta),0)</f>
        <v>#N/A</v>
      </c>
      <c r="O104" s="126" t="e">
        <f ca="1">NOT(cc_in_focus) * cc_show_type * MIN(cc_tracked,cc_budget)</f>
        <v>#N/A</v>
      </c>
      <c r="P104" s="126" t="e">
        <f ca="1">NOT(cc_in_focus) * cc_show_type * cc_show_remaining_budget * IF(cc_delta&gt;0,cc_delta,0)</f>
        <v>#N/A</v>
      </c>
      <c r="Q104" s="126" t="e">
        <f ca="1">NOT(cc_in_focus) * cc_show_type * IF(cc_delta&lt;0,ABS(cc_delta),0)</f>
        <v>#N/A</v>
      </c>
    </row>
    <row r="105" spans="3:17" x14ac:dyDescent="0.3">
      <c r="C105" s="152"/>
      <c r="D105" s="110" t="s">
        <v>29</v>
      </c>
      <c r="E105" s="110">
        <f t="shared" ref="E105" ca="1" si="89">MONTH(C102)</f>
        <v>11</v>
      </c>
      <c r="F105" s="110">
        <f ca="1">IF(selected_period="Jahresübersicht", 1, IF(selected_period=cc_month_number,1,0))</f>
        <v>0</v>
      </c>
      <c r="G105" s="110">
        <f t="shared" ref="G105" si="90">1*$D$48</f>
        <v>1</v>
      </c>
      <c r="H105" s="110">
        <f t="shared" si="3"/>
        <v>1</v>
      </c>
      <c r="I105" s="125" cm="1">
        <f t="array" aca="1" ref="I105" ca="1">SUM(Tracking[Betrag]*(Tracking[Type]=cc_type)*(YEAR(Tracking[Effektiv Datum])=selected_year)*(MONTH(Tracking[Effektiv Datum])=cc_month_number))</f>
        <v>0</v>
      </c>
      <c r="J105" s="111" t="e" cm="1">
        <f t="array" aca="1" ref="J105" ca="1">INDEX('Budget Planning'!$E:$FA,Investment_Total_Row,MATCH(DATE(selected_year,cc_month_number,1),'Budget Planning'!$E$9:$FA$9,0))</f>
        <v>#N/A</v>
      </c>
      <c r="K105" s="111" t="e">
        <f ca="1">cc_budget-cc_tracked</f>
        <v>#N/A</v>
      </c>
      <c r="L105" s="126" t="e">
        <f ca="1">cc_in_focus * cc_show_type * MIN(cc_tracked,cc_budget)</f>
        <v>#N/A</v>
      </c>
      <c r="M105" s="126" t="e">
        <f ca="1">cc_in_focus * cc_show_type * cc_show_remaining_budget * IF(cc_delta&gt;0,cc_delta,0)</f>
        <v>#N/A</v>
      </c>
      <c r="N105" s="126" t="e">
        <f ca="1">cc_in_focus * cc_show_type * IF(cc_delta&lt;0,ABS(cc_delta),0)</f>
        <v>#N/A</v>
      </c>
      <c r="O105" s="126" t="e">
        <f ca="1">NOT(cc_in_focus) * cc_show_type * MIN(cc_tracked,cc_budget)</f>
        <v>#N/A</v>
      </c>
      <c r="P105" s="126" t="e">
        <f ca="1">NOT(cc_in_focus) * cc_show_type * cc_show_remaining_budget * IF(cc_delta&gt;0,cc_delta,0)</f>
        <v>#N/A</v>
      </c>
      <c r="Q105" s="126" t="e">
        <f ca="1">NOT(cc_in_focus) * cc_show_type * IF(cc_delta&lt;0,ABS(cc_delta),0)</f>
        <v>#N/A</v>
      </c>
    </row>
    <row r="106" spans="3:17" x14ac:dyDescent="0.3">
      <c r="C106" s="152"/>
      <c r="D106" s="127"/>
      <c r="E106" s="127"/>
      <c r="F106" s="127"/>
      <c r="G106" s="127"/>
      <c r="H106" s="127"/>
      <c r="I106" s="127"/>
      <c r="J106" s="127"/>
      <c r="K106" s="127"/>
      <c r="L106" s="127"/>
      <c r="M106" s="127"/>
      <c r="N106" s="127"/>
      <c r="O106" s="127"/>
      <c r="P106" s="127"/>
      <c r="Q106" s="127"/>
    </row>
    <row r="107" spans="3:17" x14ac:dyDescent="0.3">
      <c r="C107" s="151">
        <f ca="1">DATE(selected_year,12,1)</f>
        <v>46357</v>
      </c>
      <c r="D107" s="110" t="s">
        <v>20</v>
      </c>
      <c r="E107" s="110">
        <f t="shared" ref="E107" ca="1" si="91">MONTH(C107)</f>
        <v>12</v>
      </c>
      <c r="F107" s="110">
        <f ca="1">IF(selected_period="Jahresübersicht", 1, IF(selected_period=cc_month_number,1,0))</f>
        <v>0</v>
      </c>
      <c r="G107" s="110">
        <f t="shared" ref="G107" si="92">1*$D$45</f>
        <v>1</v>
      </c>
      <c r="H107" s="110">
        <f t="shared" ref="H107" si="93">1*$D$49</f>
        <v>1</v>
      </c>
      <c r="I107" s="125" cm="1">
        <f t="array" aca="1" ref="I107" ca="1">SUM(Tracking[Betrag]*(Tracking[Type]=cc_type)*(YEAR(Tracking[Effektiv Datum])=selected_year)*(MONTH(Tracking[Effektiv Datum])=cc_month_number))</f>
        <v>0</v>
      </c>
      <c r="J107" s="111" t="e" cm="1">
        <f t="array" aca="1" ref="J107" ca="1">INDEX('Budget Planning'!$E:$FA,Einkommen_Total_Row,MATCH(DATE(selected_year,cc_month_number,1),'Budget Planning'!$E$9:$FA$9,0))</f>
        <v>#N/A</v>
      </c>
      <c r="K107" s="111" t="e">
        <f ca="1">cc_budget-cc_tracked</f>
        <v>#N/A</v>
      </c>
      <c r="L107" s="126" t="e">
        <f ca="1">cc_in_focus * cc_show_type * MIN(cc_tracked,cc_budget)</f>
        <v>#N/A</v>
      </c>
      <c r="M107" s="126" t="e">
        <f ca="1">cc_in_focus * cc_show_type * cc_show_remaining_budget * IF(cc_delta&gt;0,cc_delta,0)</f>
        <v>#N/A</v>
      </c>
      <c r="N107" s="126" t="e">
        <f ca="1">cc_in_focus * cc_show_type * IF(cc_delta&lt;0,ABS(cc_delta),0)</f>
        <v>#N/A</v>
      </c>
      <c r="O107" s="126" t="e">
        <f ca="1">NOT(cc_in_focus) * cc_show_type * MIN(cc_tracked,cc_budget)</f>
        <v>#N/A</v>
      </c>
      <c r="P107" s="126" t="e">
        <f ca="1">NOT(cc_in_focus) * cc_show_type * cc_show_remaining_budget * IF(cc_delta&gt;0,cc_delta,0)</f>
        <v>#N/A</v>
      </c>
      <c r="Q107" s="126" t="e">
        <f ca="1">NOT(cc_in_focus) * cc_show_type * IF(cc_delta&lt;0,ABS(cc_delta),0)</f>
        <v>#N/A</v>
      </c>
    </row>
    <row r="108" spans="3:17" x14ac:dyDescent="0.3">
      <c r="C108" s="152"/>
      <c r="D108" s="110" t="s">
        <v>24</v>
      </c>
      <c r="E108" s="110">
        <f t="shared" ref="E108" ca="1" si="94">MONTH(C107)</f>
        <v>12</v>
      </c>
      <c r="F108" s="110">
        <f ca="1">IF(selected_period="Jahresübersicht", 1, IF(selected_period=cc_month_number,1,0))</f>
        <v>0</v>
      </c>
      <c r="G108" s="110">
        <f t="shared" ref="G108" si="95">1*$D$46</f>
        <v>1</v>
      </c>
      <c r="H108" s="110">
        <f t="shared" si="3"/>
        <v>1</v>
      </c>
      <c r="I108" s="125" cm="1">
        <f t="array" aca="1" ref="I108" ca="1">SUM(Tracking[Betrag]*(Tracking[Type]=cc_type)*(YEAR(Tracking[Effektiv Datum])=selected_year)*(MONTH(Tracking[Effektiv Datum])=cc_month_number))</f>
        <v>0</v>
      </c>
      <c r="J108" s="111" t="e" cm="1">
        <f t="array" aca="1" ref="J108" ca="1">INDEX('Budget Planning'!$E:$FA,Fixkosten_Total_Row,MATCH(DATE(selected_year,cc_month_number,1),'Budget Planning'!$E$9:$FA$9,0))</f>
        <v>#N/A</v>
      </c>
      <c r="K108" s="111" t="e">
        <f ca="1">cc_budget-cc_tracked</f>
        <v>#N/A</v>
      </c>
      <c r="L108" s="126" t="e">
        <f ca="1">cc_in_focus * cc_show_type * MIN(cc_tracked,cc_budget)</f>
        <v>#N/A</v>
      </c>
      <c r="M108" s="126" t="e">
        <f ca="1">cc_in_focus * cc_show_type * cc_show_remaining_budget * IF(cc_delta&gt;0,cc_delta,0)</f>
        <v>#N/A</v>
      </c>
      <c r="N108" s="126" t="e">
        <f ca="1">cc_in_focus * cc_show_type * IF(cc_delta&lt;0,ABS(cc_delta),0)</f>
        <v>#N/A</v>
      </c>
      <c r="O108" s="126" t="e">
        <f ca="1">NOT(cc_in_focus) * cc_show_type * MIN(cc_tracked,cc_budget)</f>
        <v>#N/A</v>
      </c>
      <c r="P108" s="126" t="e">
        <f ca="1">NOT(cc_in_focus) * cc_show_type * cc_show_remaining_budget * IF(cc_delta&gt;0,cc_delta,0)</f>
        <v>#N/A</v>
      </c>
      <c r="Q108" s="126" t="e">
        <f ca="1">NOT(cc_in_focus) * cc_show_type * IF(cc_delta&lt;0,ABS(cc_delta),0)</f>
        <v>#N/A</v>
      </c>
    </row>
    <row r="109" spans="3:17" x14ac:dyDescent="0.3">
      <c r="C109" s="152"/>
      <c r="D109" s="110" t="s">
        <v>27</v>
      </c>
      <c r="E109" s="110">
        <f t="shared" ref="E109" ca="1" si="96">MONTH(C107)</f>
        <v>12</v>
      </c>
      <c r="F109" s="110">
        <f ca="1">IF(selected_period="Jahresübersicht", 1, IF(selected_period=cc_month_number,1,0))</f>
        <v>0</v>
      </c>
      <c r="G109" s="110">
        <f t="shared" ref="G109" si="97">1*$D$47</f>
        <v>1</v>
      </c>
      <c r="H109" s="110">
        <f t="shared" si="3"/>
        <v>1</v>
      </c>
      <c r="I109" s="125" cm="1">
        <f t="array" aca="1" ref="I109" ca="1">SUM(Tracking[Betrag]*(Tracking[Type]=cc_type)*(YEAR(Tracking[Effektiv Datum])=selected_year)*(MONTH(Tracking[Effektiv Datum])=cc_month_number))</f>
        <v>0</v>
      </c>
      <c r="J109" s="111" t="e" cm="1">
        <f t="array" aca="1" ref="J109" ca="1">INDEX('Budget Planning'!$E:$FA,Variablekosten_Total_row,MATCH(DATE(selected_year,cc_month_number,1),'Budget Planning'!$E$9:$FA$9,0))</f>
        <v>#N/A</v>
      </c>
      <c r="K109" s="111" t="e">
        <f ca="1">cc_budget-cc_tracked</f>
        <v>#N/A</v>
      </c>
      <c r="L109" s="126" t="e">
        <f ca="1">cc_in_focus * cc_show_type * MIN(cc_tracked,cc_budget)</f>
        <v>#N/A</v>
      </c>
      <c r="M109" s="126" t="e">
        <f ca="1">cc_in_focus * cc_show_type * cc_show_remaining_budget * IF(cc_delta&gt;0,cc_delta,0)</f>
        <v>#N/A</v>
      </c>
      <c r="N109" s="126" t="e">
        <f ca="1">cc_in_focus * cc_show_type * IF(cc_delta&lt;0,ABS(cc_delta),0)</f>
        <v>#N/A</v>
      </c>
      <c r="O109" s="126" t="e">
        <f ca="1">NOT(cc_in_focus) * cc_show_type * MIN(cc_tracked,cc_budget)</f>
        <v>#N/A</v>
      </c>
      <c r="P109" s="126" t="e">
        <f ca="1">NOT(cc_in_focus) * cc_show_type * cc_show_remaining_budget * IF(cc_delta&gt;0,cc_delta,0)</f>
        <v>#N/A</v>
      </c>
      <c r="Q109" s="126" t="e">
        <f ca="1">NOT(cc_in_focus) * cc_show_type * IF(cc_delta&lt;0,ABS(cc_delta),0)</f>
        <v>#N/A</v>
      </c>
    </row>
    <row r="110" spans="3:17" x14ac:dyDescent="0.3">
      <c r="C110" s="152"/>
      <c r="D110" s="110" t="s">
        <v>29</v>
      </c>
      <c r="E110" s="110">
        <f t="shared" ref="E110" ca="1" si="98">MONTH(C107)</f>
        <v>12</v>
      </c>
      <c r="F110" s="110">
        <f ca="1">IF(selected_period="Jahresübersicht", 1, IF(selected_period=cc_month_number,1,0))</f>
        <v>0</v>
      </c>
      <c r="G110" s="110">
        <f t="shared" ref="G110" si="99">1*$D$48</f>
        <v>1</v>
      </c>
      <c r="H110" s="110">
        <f t="shared" si="3"/>
        <v>1</v>
      </c>
      <c r="I110" s="125" cm="1">
        <f t="array" aca="1" ref="I110" ca="1">SUM(Tracking[Betrag]*(Tracking[Type]=cc_type)*(YEAR(Tracking[Effektiv Datum])=selected_year)*(MONTH(Tracking[Effektiv Datum])=cc_month_number))</f>
        <v>0</v>
      </c>
      <c r="J110" s="111" t="e" cm="1">
        <f t="array" aca="1" ref="J110" ca="1">INDEX('Budget Planning'!$E:$FA,Investment_Total_Row,MATCH(DATE(selected_year,cc_month_number,1),'Budget Planning'!$E$9:$FA$9,0))</f>
        <v>#N/A</v>
      </c>
      <c r="K110" s="111" t="e">
        <f ca="1">cc_budget-cc_tracked</f>
        <v>#N/A</v>
      </c>
      <c r="L110" s="126" t="e">
        <f ca="1">cc_in_focus * cc_show_type * MIN(cc_tracked,cc_budget)</f>
        <v>#N/A</v>
      </c>
      <c r="M110" s="126" t="e">
        <f ca="1">cc_in_focus * cc_show_type * cc_show_remaining_budget * IF(cc_delta&gt;0,cc_delta,0)</f>
        <v>#N/A</v>
      </c>
      <c r="N110" s="126" t="e">
        <f ca="1">cc_in_focus * cc_show_type * IF(cc_delta&lt;0,ABS(cc_delta),0)</f>
        <v>#N/A</v>
      </c>
      <c r="O110" s="126" t="e">
        <f ca="1">NOT(cc_in_focus) * cc_show_type * MIN(cc_tracked,cc_budget)</f>
        <v>#N/A</v>
      </c>
      <c r="P110" s="126" t="e">
        <f ca="1">NOT(cc_in_focus) * cc_show_type * cc_show_remaining_budget * IF(cc_delta&gt;0,cc_delta,0)</f>
        <v>#N/A</v>
      </c>
      <c r="Q110" s="126" t="e">
        <f ca="1">NOT(cc_in_focus) * cc_show_type * IF(cc_delta&lt;0,ABS(cc_delta),0)</f>
        <v>#N/A</v>
      </c>
    </row>
    <row r="111" spans="3:17" x14ac:dyDescent="0.3">
      <c r="C111" s="153"/>
      <c r="D111" s="127"/>
      <c r="E111" s="127"/>
      <c r="F111" s="127"/>
      <c r="G111" s="127"/>
      <c r="H111" s="127"/>
      <c r="I111" s="127"/>
      <c r="J111" s="127"/>
      <c r="K111" s="127"/>
      <c r="L111" s="127"/>
      <c r="M111" s="127"/>
      <c r="N111" s="127"/>
      <c r="O111" s="127"/>
      <c r="P111" s="127"/>
      <c r="Q111" s="127"/>
    </row>
    <row r="115" spans="12:17" x14ac:dyDescent="0.3">
      <c r="L115" s="126"/>
      <c r="M115" s="126"/>
      <c r="N115" s="126"/>
      <c r="O115" s="126"/>
      <c r="P115" s="126"/>
      <c r="Q115" s="126"/>
    </row>
  </sheetData>
  <mergeCells count="17">
    <mergeCell ref="B5:E5"/>
    <mergeCell ref="B17:E17"/>
    <mergeCell ref="L50:N50"/>
    <mergeCell ref="O50:Q50"/>
    <mergeCell ref="A1:C3"/>
    <mergeCell ref="C102:C106"/>
    <mergeCell ref="C107:C111"/>
    <mergeCell ref="C52:C56"/>
    <mergeCell ref="C57:C61"/>
    <mergeCell ref="C62:C66"/>
    <mergeCell ref="C67:C71"/>
    <mergeCell ref="C72:C76"/>
    <mergeCell ref="C77:C81"/>
    <mergeCell ref="C82:C86"/>
    <mergeCell ref="C87:C91"/>
    <mergeCell ref="C92:C96"/>
    <mergeCell ref="C97:C101"/>
  </mergeCells>
  <phoneticPr fontId="8" type="noConversion"/>
  <pageMargins left="0.7" right="0.7" top="0.78740157499999996" bottom="0.78740157499999996"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2061E-9500-4CD1-9DF9-AFB9DEC43B9C}">
  <sheetPr codeName="Tabelle15">
    <tabColor theme="1" tint="0.499984740745262"/>
  </sheetPr>
  <dimension ref="A9:H9"/>
  <sheetViews>
    <sheetView tabSelected="1" workbookViewId="0">
      <selection activeCell="D22" sqref="D22"/>
    </sheetView>
  </sheetViews>
  <sheetFormatPr baseColWidth="10" defaultRowHeight="14.4" x14ac:dyDescent="0.3"/>
  <cols>
    <col min="1" max="1" width="10.109375" bestFit="1" customWidth="1"/>
    <col min="2" max="2" width="10.44140625" bestFit="1" customWidth="1"/>
    <col min="3" max="3" width="29.44140625" bestFit="1" customWidth="1"/>
    <col min="4" max="4" width="13" bestFit="1" customWidth="1"/>
    <col min="5" max="5" width="8.5546875" bestFit="1" customWidth="1"/>
    <col min="6" max="6" width="11.44140625" bestFit="1" customWidth="1"/>
    <col min="7" max="7" width="9.88671875" bestFit="1" customWidth="1"/>
    <col min="8" max="8" width="80.77734375" customWidth="1"/>
    <col min="9" max="9" width="80.88671875" bestFit="1" customWidth="1"/>
  </cols>
  <sheetData>
    <row r="9" spans="1:8" x14ac:dyDescent="0.3">
      <c r="A9" t="s">
        <v>46</v>
      </c>
      <c r="B9" t="s">
        <v>49</v>
      </c>
      <c r="C9" t="s">
        <v>146</v>
      </c>
      <c r="D9" t="s">
        <v>47</v>
      </c>
      <c r="E9" t="s">
        <v>48</v>
      </c>
      <c r="F9" t="s">
        <v>51</v>
      </c>
      <c r="G9" t="s">
        <v>147</v>
      </c>
      <c r="H9" t="s">
        <v>50</v>
      </c>
    </row>
  </sheetData>
  <phoneticPr fontId="8" type="noConversion"/>
  <pageMargins left="0.7" right="0.7" top="0.78740157499999996" bottom="0.78740157499999996"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2E57F-AE10-47AB-B6E3-BECC168BB4DD}">
  <sheetPr codeName="Tabelle5">
    <tabColor theme="2" tint="-9.9978637043366805E-2"/>
  </sheetPr>
  <dimension ref="A1:M26"/>
  <sheetViews>
    <sheetView workbookViewId="0">
      <selection activeCell="H29" sqref="H29"/>
    </sheetView>
  </sheetViews>
  <sheetFormatPr baseColWidth="10" defaultColWidth="10.6640625" defaultRowHeight="14.4" x14ac:dyDescent="0.3"/>
  <cols>
    <col min="1" max="2" width="4.44140625" customWidth="1"/>
    <col min="3" max="3" width="4.109375" customWidth="1"/>
    <col min="4" max="4" width="30.88671875" style="8" customWidth="1"/>
    <col min="5" max="5" width="2.88671875" customWidth="1"/>
    <col min="6" max="6" width="18.44140625" style="6" customWidth="1"/>
    <col min="7" max="7" width="3.33203125" customWidth="1"/>
    <col min="8" max="8" width="58.6640625" customWidth="1"/>
  </cols>
  <sheetData>
    <row r="1" spans="1:13" s="39" customFormat="1" ht="15" customHeight="1" x14ac:dyDescent="0.7">
      <c r="A1" s="145" t="s">
        <v>0</v>
      </c>
      <c r="B1" s="145"/>
      <c r="C1" s="145"/>
      <c r="D1" s="145"/>
    </row>
    <row r="2" spans="1:13" s="39" customFormat="1" ht="15" customHeight="1" x14ac:dyDescent="0.7">
      <c r="A2" s="145"/>
      <c r="B2" s="145"/>
      <c r="C2" s="145"/>
      <c r="D2" s="145"/>
    </row>
    <row r="3" spans="1:13" s="39" customFormat="1" ht="15" customHeight="1" x14ac:dyDescent="0.7">
      <c r="A3" s="145"/>
      <c r="B3" s="145"/>
      <c r="C3" s="145"/>
      <c r="D3" s="145"/>
    </row>
    <row r="4" spans="1:13" ht="15" thickBot="1" x14ac:dyDescent="0.35"/>
    <row r="5" spans="1:13" ht="15" thickBot="1" x14ac:dyDescent="0.35">
      <c r="C5" s="160" t="s">
        <v>4</v>
      </c>
      <c r="D5" s="161"/>
      <c r="E5" s="161"/>
      <c r="F5" s="161"/>
      <c r="G5" s="161"/>
      <c r="H5" s="161"/>
      <c r="I5" s="161"/>
      <c r="J5" s="161"/>
      <c r="K5" s="161"/>
      <c r="L5" s="161"/>
      <c r="M5" s="162"/>
    </row>
    <row r="6" spans="1:13" x14ac:dyDescent="0.3">
      <c r="C6" s="45"/>
      <c r="D6" s="46"/>
      <c r="E6" s="47"/>
      <c r="F6" s="48"/>
      <c r="G6" s="47"/>
      <c r="H6" s="47"/>
      <c r="I6" s="47"/>
      <c r="J6" s="47"/>
      <c r="K6" s="47"/>
      <c r="L6" s="47"/>
      <c r="M6" s="49"/>
    </row>
    <row r="7" spans="1:13" x14ac:dyDescent="0.3">
      <c r="C7" s="1"/>
      <c r="D7" s="134" t="s">
        <v>5</v>
      </c>
      <c r="F7" s="135"/>
      <c r="H7" s="60" t="s">
        <v>6</v>
      </c>
      <c r="M7" s="2"/>
    </row>
    <row r="8" spans="1:13" ht="15" thickBot="1" x14ac:dyDescent="0.35">
      <c r="C8" s="3"/>
      <c r="D8" s="9"/>
      <c r="E8" s="4"/>
      <c r="F8" s="7"/>
      <c r="G8" s="4"/>
      <c r="H8" s="4"/>
      <c r="I8" s="4"/>
      <c r="J8" s="4"/>
      <c r="K8" s="4"/>
      <c r="L8" s="4"/>
      <c r="M8" s="5"/>
    </row>
    <row r="9" spans="1:13" ht="15" thickBot="1" x14ac:dyDescent="0.35"/>
    <row r="10" spans="1:13" ht="15" thickBot="1" x14ac:dyDescent="0.35">
      <c r="C10" s="160" t="s">
        <v>7</v>
      </c>
      <c r="D10" s="161"/>
      <c r="E10" s="161"/>
      <c r="F10" s="161"/>
      <c r="G10" s="161"/>
      <c r="H10" s="161"/>
      <c r="I10" s="161"/>
      <c r="J10" s="161"/>
      <c r="K10" s="161"/>
      <c r="L10" s="161"/>
      <c r="M10" s="162"/>
    </row>
    <row r="11" spans="1:13" x14ac:dyDescent="0.3">
      <c r="C11" s="45"/>
      <c r="D11" s="46"/>
      <c r="E11" s="47"/>
      <c r="F11" s="48"/>
      <c r="G11" s="47"/>
      <c r="H11" s="47"/>
      <c r="I11" s="47"/>
      <c r="J11" s="47"/>
      <c r="K11" s="47"/>
      <c r="L11" s="47"/>
      <c r="M11" s="49"/>
    </row>
    <row r="12" spans="1:13" x14ac:dyDescent="0.3">
      <c r="C12" s="1"/>
      <c r="D12" s="134" t="s">
        <v>8</v>
      </c>
      <c r="M12" s="2"/>
    </row>
    <row r="13" spans="1:13" x14ac:dyDescent="0.3">
      <c r="C13" s="1"/>
      <c r="M13" s="2"/>
    </row>
    <row r="14" spans="1:13" ht="15" customHeight="1" x14ac:dyDescent="0.3">
      <c r="C14" s="1"/>
      <c r="D14" s="8" t="s">
        <v>10</v>
      </c>
      <c r="F14" s="136" t="b">
        <v>0</v>
      </c>
      <c r="H14" s="159" t="s">
        <v>11</v>
      </c>
      <c r="I14" s="159"/>
      <c r="J14" s="159"/>
      <c r="K14" s="159"/>
      <c r="L14" s="159"/>
      <c r="M14" s="2"/>
    </row>
    <row r="15" spans="1:13" x14ac:dyDescent="0.3">
      <c r="C15" s="1"/>
      <c r="H15" s="159"/>
      <c r="I15" s="159"/>
      <c r="J15" s="159"/>
      <c r="K15" s="159"/>
      <c r="L15" s="159"/>
      <c r="M15" s="2"/>
    </row>
    <row r="16" spans="1:13" x14ac:dyDescent="0.3">
      <c r="C16" s="1"/>
      <c r="D16" s="8" t="s">
        <v>9</v>
      </c>
      <c r="F16" s="137"/>
      <c r="H16" s="159"/>
      <c r="I16" s="159"/>
      <c r="J16" s="159"/>
      <c r="K16" s="159"/>
      <c r="L16" s="159"/>
      <c r="M16" s="2"/>
    </row>
    <row r="17" spans="3:13" x14ac:dyDescent="0.3">
      <c r="C17" s="1"/>
      <c r="M17" s="2"/>
    </row>
    <row r="18" spans="3:13" x14ac:dyDescent="0.3">
      <c r="C18" s="1"/>
      <c r="D18" s="134" t="s">
        <v>12</v>
      </c>
      <c r="M18" s="2"/>
    </row>
    <row r="19" spans="3:13" x14ac:dyDescent="0.3">
      <c r="C19" s="1"/>
      <c r="M19" s="2"/>
    </row>
    <row r="20" spans="3:13" ht="15" customHeight="1" x14ac:dyDescent="0.3">
      <c r="C20" s="1"/>
      <c r="D20" s="8" t="s">
        <v>13</v>
      </c>
      <c r="F20" s="135" t="s">
        <v>17</v>
      </c>
      <c r="H20" s="163" t="s">
        <v>14</v>
      </c>
      <c r="I20" s="163"/>
      <c r="J20" s="163"/>
      <c r="K20" s="163"/>
      <c r="L20" s="163"/>
      <c r="M20" s="11"/>
    </row>
    <row r="21" spans="3:13" x14ac:dyDescent="0.3">
      <c r="C21" s="1"/>
      <c r="H21" s="163"/>
      <c r="I21" s="163"/>
      <c r="J21" s="163"/>
      <c r="K21" s="163"/>
      <c r="L21" s="163"/>
      <c r="M21" s="11"/>
    </row>
    <row r="22" spans="3:13" x14ac:dyDescent="0.3">
      <c r="C22" s="1"/>
      <c r="H22" s="163"/>
      <c r="I22" s="163"/>
      <c r="J22" s="163"/>
      <c r="K22" s="163"/>
      <c r="L22" s="163"/>
      <c r="M22" s="11"/>
    </row>
    <row r="23" spans="3:13" x14ac:dyDescent="0.3">
      <c r="C23" s="1"/>
      <c r="M23" s="2"/>
    </row>
    <row r="24" spans="3:13" x14ac:dyDescent="0.3">
      <c r="C24" s="1"/>
      <c r="M24" s="2"/>
    </row>
    <row r="25" spans="3:13" ht="15" thickBot="1" x14ac:dyDescent="0.35">
      <c r="C25" s="3"/>
      <c r="D25" s="9"/>
      <c r="E25" s="4"/>
      <c r="F25" s="7"/>
      <c r="G25" s="4"/>
      <c r="H25" s="61"/>
      <c r="I25" s="61"/>
      <c r="J25" s="61"/>
      <c r="K25" s="61"/>
      <c r="L25" s="61"/>
      <c r="M25" s="5"/>
    </row>
    <row r="26" spans="3:13" x14ac:dyDescent="0.3">
      <c r="H26" s="60"/>
      <c r="I26" s="60"/>
      <c r="J26" s="60"/>
      <c r="K26" s="60"/>
      <c r="L26" s="60"/>
    </row>
  </sheetData>
  <mergeCells count="5">
    <mergeCell ref="H14:L16"/>
    <mergeCell ref="C5:M5"/>
    <mergeCell ref="C10:M10"/>
    <mergeCell ref="H20:L22"/>
    <mergeCell ref="A1:D3"/>
  </mergeCells>
  <conditionalFormatting sqref="D16:F16">
    <cfRule type="expression" dxfId="47" priority="2">
      <formula>$F$14=FALSE</formula>
    </cfRule>
  </conditionalFormatting>
  <conditionalFormatting sqref="F20">
    <cfRule type="expression" dxfId="46" priority="1">
      <formula>$F$14=FALSE</formula>
    </cfRule>
  </conditionalFormatting>
  <dataValidations count="1">
    <dataValidation type="list" allowBlank="1" showInputMessage="1" showErrorMessage="1" sqref="F20" xr:uid="{B1DA18E3-9958-4722-9E05-4A73D252E3D3}">
      <formula1>Status_KPI_Berechnung</formula1>
    </dataValidation>
  </dataValidations>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B369E-C4DA-4A81-8624-E7037783B0D1}">
  <sheetPr codeName="Tabelle6">
    <tabColor theme="9" tint="0.79998168889431442"/>
    <pageSetUpPr autoPageBreaks="0"/>
  </sheetPr>
  <dimension ref="A1:FA59"/>
  <sheetViews>
    <sheetView zoomScale="120" zoomScaleNormal="120" workbookViewId="0">
      <pane xSplit="4" topLeftCell="Q1" activePane="topRight" state="frozen"/>
      <selection activeCell="A3" sqref="A3"/>
      <selection pane="topRight" activeCell="FI10" sqref="FI10"/>
    </sheetView>
  </sheetViews>
  <sheetFormatPr baseColWidth="10" defaultColWidth="10.6640625" defaultRowHeight="14.4" outlineLevelCol="1" x14ac:dyDescent="0.3"/>
  <cols>
    <col min="1" max="1" width="4.44140625" customWidth="1"/>
    <col min="2" max="2" width="1.44140625" bestFit="1" customWidth="1"/>
    <col min="3" max="3" width="35.109375" bestFit="1" customWidth="1"/>
    <col min="4" max="4" width="3.109375" customWidth="1"/>
    <col min="5" max="5" width="14.109375" hidden="1" customWidth="1" outlineLevel="1"/>
    <col min="6" max="16" width="13.5546875" hidden="1" customWidth="1" outlineLevel="1"/>
    <col min="17" max="17" width="14.5546875" bestFit="1" customWidth="1" collapsed="1"/>
    <col min="18" max="18" width="3" customWidth="1"/>
    <col min="19" max="30" width="9.109375" hidden="1" customWidth="1" outlineLevel="1"/>
    <col min="31" max="31" width="9.109375" bestFit="1" customWidth="1" collapsed="1"/>
    <col min="32" max="32" width="3" customWidth="1"/>
    <col min="33" max="44" width="9.109375" hidden="1" customWidth="1" outlineLevel="1"/>
    <col min="45" max="45" width="9.109375" bestFit="1" customWidth="1" collapsed="1"/>
    <col min="46" max="46" width="3" customWidth="1"/>
    <col min="47" max="58" width="9.109375" hidden="1" customWidth="1" outlineLevel="1"/>
    <col min="59" max="59" width="9.109375" bestFit="1" customWidth="1" collapsed="1"/>
    <col min="60" max="60" width="3" customWidth="1"/>
    <col min="61" max="72" width="9.109375" hidden="1" customWidth="1" outlineLevel="1"/>
    <col min="73" max="73" width="9.109375" bestFit="1" customWidth="1" collapsed="1"/>
    <col min="74" max="74" width="3" customWidth="1"/>
    <col min="75" max="86" width="9.109375" hidden="1" customWidth="1" outlineLevel="1"/>
    <col min="87" max="87" width="9.109375" bestFit="1" customWidth="1" collapsed="1"/>
    <col min="88" max="88" width="3" customWidth="1"/>
    <col min="89" max="100" width="9.109375" hidden="1" customWidth="1" outlineLevel="1"/>
    <col min="101" max="101" width="9.109375" bestFit="1" customWidth="1" collapsed="1"/>
    <col min="102" max="102" width="3" customWidth="1"/>
    <col min="103" max="114" width="9.109375" hidden="1" customWidth="1" outlineLevel="1"/>
    <col min="115" max="115" width="9.109375" bestFit="1" customWidth="1" collapsed="1"/>
    <col min="116" max="116" width="3" customWidth="1"/>
    <col min="117" max="128" width="9.109375" hidden="1" customWidth="1" outlineLevel="1"/>
    <col min="129" max="129" width="9.109375" bestFit="1" customWidth="1" collapsed="1"/>
    <col min="130" max="130" width="3" customWidth="1"/>
    <col min="131" max="142" width="9.109375" hidden="1" customWidth="1" outlineLevel="1"/>
    <col min="143" max="143" width="9.109375" bestFit="1" customWidth="1" collapsed="1"/>
    <col min="144" max="144" width="3" customWidth="1"/>
    <col min="145" max="156" width="9.109375" hidden="1" customWidth="1" outlineLevel="1"/>
    <col min="157" max="157" width="9.109375" bestFit="1" customWidth="1" collapsed="1"/>
    <col min="158" max="158" width="3" customWidth="1"/>
  </cols>
  <sheetData>
    <row r="1" spans="1:157" s="39" customFormat="1" ht="15.75" customHeight="1" x14ac:dyDescent="0.7">
      <c r="A1" s="143" t="s">
        <v>44</v>
      </c>
      <c r="B1" s="143"/>
      <c r="C1" s="143"/>
    </row>
    <row r="2" spans="1:157" s="39" customFormat="1" ht="15" customHeight="1" x14ac:dyDescent="0.7">
      <c r="A2" s="143"/>
      <c r="B2" s="143"/>
      <c r="C2" s="143"/>
    </row>
    <row r="3" spans="1:157" s="39" customFormat="1" ht="15" customHeight="1" x14ac:dyDescent="0.7">
      <c r="A3" s="143"/>
      <c r="B3" s="143"/>
      <c r="C3" s="143"/>
    </row>
    <row r="5" spans="1:157" ht="18" x14ac:dyDescent="0.35">
      <c r="E5" s="144">
        <f>start_jahr</f>
        <v>0</v>
      </c>
      <c r="F5" s="144"/>
      <c r="G5" s="144"/>
      <c r="H5" s="144"/>
      <c r="I5" s="144"/>
      <c r="J5" s="144"/>
      <c r="K5" s="144"/>
      <c r="L5" s="144"/>
      <c r="M5" s="144"/>
      <c r="N5" s="144"/>
      <c r="O5" s="144"/>
      <c r="P5" s="144"/>
      <c r="Q5" s="144"/>
      <c r="S5" s="144">
        <f>E5+1</f>
        <v>1</v>
      </c>
      <c r="T5" s="144"/>
      <c r="U5" s="144"/>
      <c r="V5" s="144"/>
      <c r="W5" s="144"/>
      <c r="X5" s="144"/>
      <c r="Y5" s="144"/>
      <c r="Z5" s="144"/>
      <c r="AA5" s="144"/>
      <c r="AB5" s="144"/>
      <c r="AC5" s="144"/>
      <c r="AD5" s="144"/>
      <c r="AE5" s="144"/>
      <c r="AG5" s="144">
        <f t="shared" ref="AG5" si="0">S5+1</f>
        <v>2</v>
      </c>
      <c r="AH5" s="144"/>
      <c r="AI5" s="144"/>
      <c r="AJ5" s="144"/>
      <c r="AK5" s="144"/>
      <c r="AL5" s="144"/>
      <c r="AM5" s="144"/>
      <c r="AN5" s="144"/>
      <c r="AO5" s="144"/>
      <c r="AP5" s="144"/>
      <c r="AQ5" s="144"/>
      <c r="AR5" s="144"/>
      <c r="AS5" s="144"/>
      <c r="AU5" s="144">
        <f t="shared" ref="AU5" si="1">AG5+1</f>
        <v>3</v>
      </c>
      <c r="AV5" s="144"/>
      <c r="AW5" s="144"/>
      <c r="AX5" s="144"/>
      <c r="AY5" s="144"/>
      <c r="AZ5" s="144"/>
      <c r="BA5" s="144"/>
      <c r="BB5" s="144"/>
      <c r="BC5" s="144"/>
      <c r="BD5" s="144"/>
      <c r="BE5" s="144"/>
      <c r="BF5" s="144"/>
      <c r="BG5" s="144"/>
      <c r="BI5" s="144">
        <f t="shared" ref="BI5" si="2">AU5+1</f>
        <v>4</v>
      </c>
      <c r="BJ5" s="144"/>
      <c r="BK5" s="144"/>
      <c r="BL5" s="144"/>
      <c r="BM5" s="144"/>
      <c r="BN5" s="144"/>
      <c r="BO5" s="144"/>
      <c r="BP5" s="144"/>
      <c r="BQ5" s="144"/>
      <c r="BR5" s="144"/>
      <c r="BS5" s="144"/>
      <c r="BT5" s="144"/>
      <c r="BU5" s="144"/>
      <c r="BW5" s="144">
        <f t="shared" ref="BW5" si="3">BI5+1</f>
        <v>5</v>
      </c>
      <c r="BX5" s="144"/>
      <c r="BY5" s="144"/>
      <c r="BZ5" s="144"/>
      <c r="CA5" s="144"/>
      <c r="CB5" s="144"/>
      <c r="CC5" s="144"/>
      <c r="CD5" s="144"/>
      <c r="CE5" s="144"/>
      <c r="CF5" s="144"/>
      <c r="CG5" s="144"/>
      <c r="CH5" s="144"/>
      <c r="CI5" s="144"/>
      <c r="CK5" s="144">
        <f t="shared" ref="CK5" si="4">BW5+1</f>
        <v>6</v>
      </c>
      <c r="CL5" s="144"/>
      <c r="CM5" s="144"/>
      <c r="CN5" s="144"/>
      <c r="CO5" s="144"/>
      <c r="CP5" s="144"/>
      <c r="CQ5" s="144"/>
      <c r="CR5" s="144"/>
      <c r="CS5" s="144"/>
      <c r="CT5" s="144"/>
      <c r="CU5" s="144"/>
      <c r="CV5" s="144"/>
      <c r="CW5" s="144"/>
      <c r="CY5" s="144">
        <f t="shared" ref="CY5" si="5">CK5+1</f>
        <v>7</v>
      </c>
      <c r="CZ5" s="144"/>
      <c r="DA5" s="144"/>
      <c r="DB5" s="144"/>
      <c r="DC5" s="144"/>
      <c r="DD5" s="144"/>
      <c r="DE5" s="144"/>
      <c r="DF5" s="144"/>
      <c r="DG5" s="144"/>
      <c r="DH5" s="144"/>
      <c r="DI5" s="144"/>
      <c r="DJ5" s="144"/>
      <c r="DK5" s="144"/>
      <c r="DM5" s="144">
        <f t="shared" ref="DM5" si="6">CY5+1</f>
        <v>8</v>
      </c>
      <c r="DN5" s="144"/>
      <c r="DO5" s="144"/>
      <c r="DP5" s="144"/>
      <c r="DQ5" s="144"/>
      <c r="DR5" s="144"/>
      <c r="DS5" s="144"/>
      <c r="DT5" s="144"/>
      <c r="DU5" s="144"/>
      <c r="DV5" s="144"/>
      <c r="DW5" s="144"/>
      <c r="DX5" s="144"/>
      <c r="DY5" s="144"/>
      <c r="EA5" s="144">
        <f t="shared" ref="EA5" si="7">DM5+1</f>
        <v>9</v>
      </c>
      <c r="EB5" s="144"/>
      <c r="EC5" s="144"/>
      <c r="ED5" s="144"/>
      <c r="EE5" s="144"/>
      <c r="EF5" s="144"/>
      <c r="EG5" s="144"/>
      <c r="EH5" s="144"/>
      <c r="EI5" s="144"/>
      <c r="EJ5" s="144"/>
      <c r="EK5" s="144"/>
      <c r="EL5" s="144"/>
      <c r="EM5" s="144"/>
      <c r="EO5" s="144">
        <f t="shared" ref="EO5" si="8">EA5+1</f>
        <v>10</v>
      </c>
      <c r="EP5" s="144"/>
      <c r="EQ5" s="144"/>
      <c r="ER5" s="144"/>
      <c r="ES5" s="144"/>
      <c r="ET5" s="144"/>
      <c r="EU5" s="144"/>
      <c r="EV5" s="144"/>
      <c r="EW5" s="144"/>
      <c r="EX5" s="144"/>
      <c r="EY5" s="144"/>
      <c r="EZ5" s="144"/>
      <c r="FA5" s="144"/>
    </row>
    <row r="6" spans="1:157" x14ac:dyDescent="0.3">
      <c r="E6" s="35" t="str">
        <f ca="1">IF(OR(E7=0, TODAY()&gt;DATE(D$5, 2, 0)), "Jan ✓", "Jan")</f>
        <v>Jan ✓</v>
      </c>
      <c r="F6" s="36" t="str">
        <f ca="1">IF(OR(F7=0, TODAY()&gt;DATE(D$5, 3, 0)), "Feb ✓", "Feb")</f>
        <v>Feb ✓</v>
      </c>
      <c r="G6" s="36" t="str">
        <f ca="1">IF(OR(G7=0, TODAY()&gt;DATE(D$5, 4, 0)), "Mrz ✓", "Mrz")</f>
        <v>Mrz ✓</v>
      </c>
      <c r="H6" s="36" t="str">
        <f ca="1">IF(OR(H7=0, TODAY()&gt;DATE(D$5, 5, 0)), "Apr ✓", "Apr")</f>
        <v>Apr ✓</v>
      </c>
      <c r="I6" s="36" t="str">
        <f ca="1">IF(OR(I7=0, TODAY()&gt;DATE(D$5, 6, 0)), "Mai ✓", "Mai")</f>
        <v>Mai ✓</v>
      </c>
      <c r="J6" s="36" t="str">
        <f ca="1">IF(OR(J7=0, TODAY()&gt;DATE(D$5, 7, 0)), "Jun ✓", "Jun")</f>
        <v>Jun ✓</v>
      </c>
      <c r="K6" s="36" t="str">
        <f ca="1">IF(OR(K7=0, TODAY()&gt;DATE(D$5, 8, 0)), "Jul ✓", "Jul")</f>
        <v>Jul ✓</v>
      </c>
      <c r="L6" s="36" t="str">
        <f ca="1">IF(OR(L7=0, TODAY()&gt;DATE(D$5, 9, 0)), "Aug ✓", "Aug")</f>
        <v>Aug ✓</v>
      </c>
      <c r="M6" s="36" t="str">
        <f ca="1">IF(OR(M7=0, TODAY()&gt;DATE(D$5, 10, 0)), "Sep ✓", "Sep")</f>
        <v>Sep ✓</v>
      </c>
      <c r="N6" s="36" t="str">
        <f ca="1">IF(OR(N7=0, TODAY()&gt;DATE(D$5, 11, 0)), "Okt ✓", "Okt")</f>
        <v>Okt ✓</v>
      </c>
      <c r="O6" s="36" t="str">
        <f ca="1">IF(OR(O7=0, TODAY()&gt;DATE(D$5, 12, 0)), "Nov ✓", "Nov")</f>
        <v>Nov ✓</v>
      </c>
      <c r="P6" s="36" t="str">
        <f ca="1">IF(OR(P7=0, TODAY()&gt;DATE(D$5, 1, 1+1)), "Dez ✓", "Dez")</f>
        <v>Dez ✓</v>
      </c>
      <c r="Q6" s="36" t="str">
        <f ca="1">IF(OR(Q7=0, TODAY()&gt;DATE(D$5+1, 1, 0)), "Total ✓", "Total")</f>
        <v>Total ✓</v>
      </c>
      <c r="S6" s="35" t="str">
        <f ca="1">IF(S7=0,"Jan ✓", "Jan")</f>
        <v>Jan ✓</v>
      </c>
      <c r="T6" s="36" t="str">
        <f ca="1">IF(T7=0,"Feb ✓", "Feb")</f>
        <v>Feb ✓</v>
      </c>
      <c r="U6" s="36" t="str">
        <f ca="1">IF(U7=0,"Mrz ✓", "Mrz")</f>
        <v>Mrz ✓</v>
      </c>
      <c r="V6" s="36" t="str">
        <f ca="1">IF(V7=0,"Apr ✓", "Apr")</f>
        <v>Apr ✓</v>
      </c>
      <c r="W6" s="36" t="str">
        <f ca="1">IF(W7=0,"Mai ✓", "Mai")</f>
        <v>Mai ✓</v>
      </c>
      <c r="X6" s="36" t="str">
        <f ca="1">IF(X7=0,"Jun ✓", "Jun")</f>
        <v>Jun ✓</v>
      </c>
      <c r="Y6" s="36" t="str">
        <f ca="1">IF(Y7=0,"Jul ✓", "Jul")</f>
        <v>Jul ✓</v>
      </c>
      <c r="Z6" s="36" t="str">
        <f ca="1">IF(Z7=0,"Aug ✓", "Aug")</f>
        <v>Aug ✓</v>
      </c>
      <c r="AA6" s="36" t="str">
        <f ca="1">IF(AA7=0,"Sep ✓", "Sep")</f>
        <v>Sep ✓</v>
      </c>
      <c r="AB6" s="36" t="str">
        <f ca="1">IF(AB7=0,"Okt ✓", "Okt")</f>
        <v>Okt ✓</v>
      </c>
      <c r="AC6" s="36" t="str">
        <f ca="1">IF(AC7=0,"Nov ✓", "Nov")</f>
        <v>Nov ✓</v>
      </c>
      <c r="AD6" s="36" t="str">
        <f ca="1">IF(AD7=0,"Dez ✓", "Dez")</f>
        <v>Dez ✓</v>
      </c>
      <c r="AE6" s="36" t="str">
        <f ca="1">IF(AE7=0,"Total ✓", "Total")</f>
        <v>Total ✓</v>
      </c>
      <c r="AG6" s="35" t="str">
        <f t="shared" ref="AG6" ca="1" si="9">IF(AG7=0,"Jan ✓", "Jan")</f>
        <v>Jan ✓</v>
      </c>
      <c r="AH6" s="36" t="str">
        <f t="shared" ref="AH6" ca="1" si="10">IF(AH7=0,"Feb ✓", "Feb")</f>
        <v>Feb ✓</v>
      </c>
      <c r="AI6" s="36" t="str">
        <f t="shared" ref="AI6" ca="1" si="11">IF(AI7=0,"Mrz ✓", "Mrz")</f>
        <v>Mrz ✓</v>
      </c>
      <c r="AJ6" s="36" t="str">
        <f t="shared" ref="AJ6" ca="1" si="12">IF(AJ7=0,"Apr ✓", "Apr")</f>
        <v>Apr ✓</v>
      </c>
      <c r="AK6" s="36" t="str">
        <f t="shared" ref="AK6" ca="1" si="13">IF(AK7=0,"Mai ✓", "Mai")</f>
        <v>Mai ✓</v>
      </c>
      <c r="AL6" s="36" t="str">
        <f t="shared" ref="AL6" ca="1" si="14">IF(AL7=0,"Jun ✓", "Jun")</f>
        <v>Jun ✓</v>
      </c>
      <c r="AM6" s="36" t="str">
        <f t="shared" ref="AM6" ca="1" si="15">IF(AM7=0,"Jul ✓", "Jul")</f>
        <v>Jul ✓</v>
      </c>
      <c r="AN6" s="36" t="str">
        <f t="shared" ref="AN6" ca="1" si="16">IF(AN7=0,"Aug ✓", "Aug")</f>
        <v>Aug ✓</v>
      </c>
      <c r="AO6" s="36" t="str">
        <f t="shared" ref="AO6" ca="1" si="17">IF(AO7=0,"Sep ✓", "Sep")</f>
        <v>Sep ✓</v>
      </c>
      <c r="AP6" s="36" t="str">
        <f t="shared" ref="AP6" ca="1" si="18">IF(AP7=0,"Okt ✓", "Okt")</f>
        <v>Okt ✓</v>
      </c>
      <c r="AQ6" s="36" t="str">
        <f t="shared" ref="AQ6" ca="1" si="19">IF(AQ7=0,"Nov ✓", "Nov")</f>
        <v>Nov ✓</v>
      </c>
      <c r="AR6" s="36" t="str">
        <f t="shared" ref="AR6" ca="1" si="20">IF(AR7=0,"Dez ✓", "Dez")</f>
        <v>Dez ✓</v>
      </c>
      <c r="AS6" s="36" t="str">
        <f t="shared" ref="AS6" ca="1" si="21">IF(AS7=0,"Total ✓", "Total")</f>
        <v>Total ✓</v>
      </c>
      <c r="AU6" s="35" t="str">
        <f t="shared" ref="AU6" ca="1" si="22">IF(AU7=0,"Jan ✓", "Jan")</f>
        <v>Jan ✓</v>
      </c>
      <c r="AV6" s="36" t="str">
        <f t="shared" ref="AV6" ca="1" si="23">IF(AV7=0,"Feb ✓", "Feb")</f>
        <v>Feb ✓</v>
      </c>
      <c r="AW6" s="36" t="str">
        <f t="shared" ref="AW6" ca="1" si="24">IF(AW7=0,"Mrz ✓", "Mrz")</f>
        <v>Mrz ✓</v>
      </c>
      <c r="AX6" s="36" t="str">
        <f t="shared" ref="AX6" ca="1" si="25">IF(AX7=0,"Apr ✓", "Apr")</f>
        <v>Apr ✓</v>
      </c>
      <c r="AY6" s="36" t="str">
        <f t="shared" ref="AY6" ca="1" si="26">IF(AY7=0,"Mai ✓", "Mai")</f>
        <v>Mai ✓</v>
      </c>
      <c r="AZ6" s="36" t="str">
        <f t="shared" ref="AZ6" ca="1" si="27">IF(AZ7=0,"Jun ✓", "Jun")</f>
        <v>Jun ✓</v>
      </c>
      <c r="BA6" s="36" t="str">
        <f t="shared" ref="BA6" ca="1" si="28">IF(BA7=0,"Jul ✓", "Jul")</f>
        <v>Jul ✓</v>
      </c>
      <c r="BB6" s="36" t="str">
        <f t="shared" ref="BB6" ca="1" si="29">IF(BB7=0,"Aug ✓", "Aug")</f>
        <v>Aug ✓</v>
      </c>
      <c r="BC6" s="36" t="str">
        <f t="shared" ref="BC6" ca="1" si="30">IF(BC7=0,"Sep ✓", "Sep")</f>
        <v>Sep ✓</v>
      </c>
      <c r="BD6" s="36" t="str">
        <f t="shared" ref="BD6" ca="1" si="31">IF(BD7=0,"Okt ✓", "Okt")</f>
        <v>Okt ✓</v>
      </c>
      <c r="BE6" s="36" t="str">
        <f t="shared" ref="BE6" ca="1" si="32">IF(BE7=0,"Nov ✓", "Nov")</f>
        <v>Nov ✓</v>
      </c>
      <c r="BF6" s="36" t="str">
        <f t="shared" ref="BF6" ca="1" si="33">IF(BF7=0,"Dez ✓", "Dez")</f>
        <v>Dez ✓</v>
      </c>
      <c r="BG6" s="36" t="str">
        <f t="shared" ref="BG6" ca="1" si="34">IF(BG7=0,"Total ✓", "Total")</f>
        <v>Total ✓</v>
      </c>
      <c r="BI6" s="35" t="str">
        <f t="shared" ref="BI6" ca="1" si="35">IF(BI7=0,"Jan ✓", "Jan")</f>
        <v>Jan ✓</v>
      </c>
      <c r="BJ6" s="36" t="str">
        <f t="shared" ref="BJ6" ca="1" si="36">IF(BJ7=0,"Feb ✓", "Feb")</f>
        <v>Feb ✓</v>
      </c>
      <c r="BK6" s="36" t="str">
        <f t="shared" ref="BK6" ca="1" si="37">IF(BK7=0,"Mrz ✓", "Mrz")</f>
        <v>Mrz ✓</v>
      </c>
      <c r="BL6" s="36" t="str">
        <f t="shared" ref="BL6" ca="1" si="38">IF(BL7=0,"Apr ✓", "Apr")</f>
        <v>Apr ✓</v>
      </c>
      <c r="BM6" s="36" t="str">
        <f t="shared" ref="BM6" ca="1" si="39">IF(BM7=0,"Mai ✓", "Mai")</f>
        <v>Mai ✓</v>
      </c>
      <c r="BN6" s="36" t="str">
        <f t="shared" ref="BN6" ca="1" si="40">IF(BN7=0,"Jun ✓", "Jun")</f>
        <v>Jun ✓</v>
      </c>
      <c r="BO6" s="36" t="str">
        <f t="shared" ref="BO6" ca="1" si="41">IF(BO7=0,"Jul ✓", "Jul")</f>
        <v>Jul ✓</v>
      </c>
      <c r="BP6" s="36" t="str">
        <f t="shared" ref="BP6" ca="1" si="42">IF(BP7=0,"Aug ✓", "Aug")</f>
        <v>Aug ✓</v>
      </c>
      <c r="BQ6" s="36" t="str">
        <f t="shared" ref="BQ6" ca="1" si="43">IF(BQ7=0,"Sep ✓", "Sep")</f>
        <v>Sep ✓</v>
      </c>
      <c r="BR6" s="36" t="str">
        <f t="shared" ref="BR6" ca="1" si="44">IF(BR7=0,"Okt ✓", "Okt")</f>
        <v>Okt ✓</v>
      </c>
      <c r="BS6" s="36" t="str">
        <f t="shared" ref="BS6" ca="1" si="45">IF(BS7=0,"Nov ✓", "Nov")</f>
        <v>Nov ✓</v>
      </c>
      <c r="BT6" s="36" t="str">
        <f t="shared" ref="BT6" ca="1" si="46">IF(BT7=0,"Dez ✓", "Dez")</f>
        <v>Dez ✓</v>
      </c>
      <c r="BU6" s="36" t="str">
        <f t="shared" ref="BU6" ca="1" si="47">IF(BU7=0,"Total ✓", "Total")</f>
        <v>Total ✓</v>
      </c>
      <c r="BW6" s="35" t="str">
        <f t="shared" ref="BW6" ca="1" si="48">IF(BW7=0,"Jan ✓", "Jan")</f>
        <v>Jan ✓</v>
      </c>
      <c r="BX6" s="36" t="str">
        <f t="shared" ref="BX6" ca="1" si="49">IF(BX7=0,"Feb ✓", "Feb")</f>
        <v>Feb ✓</v>
      </c>
      <c r="BY6" s="36" t="str">
        <f t="shared" ref="BY6" ca="1" si="50">IF(BY7=0,"Mrz ✓", "Mrz")</f>
        <v>Mrz ✓</v>
      </c>
      <c r="BZ6" s="36" t="str">
        <f t="shared" ref="BZ6" ca="1" si="51">IF(BZ7=0,"Apr ✓", "Apr")</f>
        <v>Apr ✓</v>
      </c>
      <c r="CA6" s="36" t="str">
        <f t="shared" ref="CA6" ca="1" si="52">IF(CA7=0,"Mai ✓", "Mai")</f>
        <v>Mai ✓</v>
      </c>
      <c r="CB6" s="36" t="str">
        <f t="shared" ref="CB6" ca="1" si="53">IF(CB7=0,"Jun ✓", "Jun")</f>
        <v>Jun ✓</v>
      </c>
      <c r="CC6" s="36" t="str">
        <f t="shared" ref="CC6" ca="1" si="54">IF(CC7=0,"Jul ✓", "Jul")</f>
        <v>Jul ✓</v>
      </c>
      <c r="CD6" s="36" t="str">
        <f t="shared" ref="CD6" ca="1" si="55">IF(CD7=0,"Aug ✓", "Aug")</f>
        <v>Aug ✓</v>
      </c>
      <c r="CE6" s="36" t="str">
        <f t="shared" ref="CE6" ca="1" si="56">IF(CE7=0,"Sep ✓", "Sep")</f>
        <v>Sep ✓</v>
      </c>
      <c r="CF6" s="36" t="str">
        <f t="shared" ref="CF6" ca="1" si="57">IF(CF7=0,"Okt ✓", "Okt")</f>
        <v>Okt ✓</v>
      </c>
      <c r="CG6" s="36" t="str">
        <f t="shared" ref="CG6" ca="1" si="58">IF(CG7=0,"Nov ✓", "Nov")</f>
        <v>Nov ✓</v>
      </c>
      <c r="CH6" s="36" t="str">
        <f t="shared" ref="CH6" ca="1" si="59">IF(CH7=0,"Dez ✓", "Dez")</f>
        <v>Dez ✓</v>
      </c>
      <c r="CI6" s="36" t="str">
        <f t="shared" ref="CI6" ca="1" si="60">IF(CI7=0,"Total ✓", "Total")</f>
        <v>Total ✓</v>
      </c>
      <c r="CK6" s="35" t="str">
        <f t="shared" ref="CK6" ca="1" si="61">IF(CK7=0,"Jan ✓", "Jan")</f>
        <v>Jan ✓</v>
      </c>
      <c r="CL6" s="36" t="str">
        <f t="shared" ref="CL6" ca="1" si="62">IF(CL7=0,"Feb ✓", "Feb")</f>
        <v>Feb ✓</v>
      </c>
      <c r="CM6" s="36" t="str">
        <f t="shared" ref="CM6" ca="1" si="63">IF(CM7=0,"Mrz ✓", "Mrz")</f>
        <v>Mrz ✓</v>
      </c>
      <c r="CN6" s="36" t="str">
        <f t="shared" ref="CN6" ca="1" si="64">IF(CN7=0,"Apr ✓", "Apr")</f>
        <v>Apr ✓</v>
      </c>
      <c r="CO6" s="36" t="str">
        <f t="shared" ref="CO6" ca="1" si="65">IF(CO7=0,"Mai ✓", "Mai")</f>
        <v>Mai ✓</v>
      </c>
      <c r="CP6" s="36" t="str">
        <f t="shared" ref="CP6" ca="1" si="66">IF(CP7=0,"Jun ✓", "Jun")</f>
        <v>Jun ✓</v>
      </c>
      <c r="CQ6" s="36" t="str">
        <f t="shared" ref="CQ6" ca="1" si="67">IF(CQ7=0,"Jul ✓", "Jul")</f>
        <v>Jul ✓</v>
      </c>
      <c r="CR6" s="36" t="str">
        <f t="shared" ref="CR6" ca="1" si="68">IF(CR7=0,"Aug ✓", "Aug")</f>
        <v>Aug ✓</v>
      </c>
      <c r="CS6" s="36" t="str">
        <f t="shared" ref="CS6" ca="1" si="69">IF(CS7=0,"Sep ✓", "Sep")</f>
        <v>Sep ✓</v>
      </c>
      <c r="CT6" s="36" t="str">
        <f t="shared" ref="CT6" ca="1" si="70">IF(CT7=0,"Okt ✓", "Okt")</f>
        <v>Okt ✓</v>
      </c>
      <c r="CU6" s="36" t="str">
        <f t="shared" ref="CU6" ca="1" si="71">IF(CU7=0,"Nov ✓", "Nov")</f>
        <v>Nov ✓</v>
      </c>
      <c r="CV6" s="36" t="str">
        <f t="shared" ref="CV6" ca="1" si="72">IF(CV7=0,"Dez ✓", "Dez")</f>
        <v>Dez ✓</v>
      </c>
      <c r="CW6" s="36" t="str">
        <f t="shared" ref="CW6" ca="1" si="73">IF(CW7=0,"Total ✓", "Total")</f>
        <v>Total ✓</v>
      </c>
      <c r="CY6" s="35" t="str">
        <f t="shared" ref="CY6" ca="1" si="74">IF(CY7=0,"Jan ✓", "Jan")</f>
        <v>Jan ✓</v>
      </c>
      <c r="CZ6" s="36" t="str">
        <f t="shared" ref="CZ6" ca="1" si="75">IF(CZ7=0,"Feb ✓", "Feb")</f>
        <v>Feb ✓</v>
      </c>
      <c r="DA6" s="36" t="str">
        <f t="shared" ref="DA6" ca="1" si="76">IF(DA7=0,"Mrz ✓", "Mrz")</f>
        <v>Mrz ✓</v>
      </c>
      <c r="DB6" s="36" t="str">
        <f t="shared" ref="DB6" ca="1" si="77">IF(DB7=0,"Apr ✓", "Apr")</f>
        <v>Apr ✓</v>
      </c>
      <c r="DC6" s="36" t="str">
        <f t="shared" ref="DC6" ca="1" si="78">IF(DC7=0,"Mai ✓", "Mai")</f>
        <v>Mai ✓</v>
      </c>
      <c r="DD6" s="36" t="str">
        <f t="shared" ref="DD6" ca="1" si="79">IF(DD7=0,"Jun ✓", "Jun")</f>
        <v>Jun ✓</v>
      </c>
      <c r="DE6" s="36" t="str">
        <f t="shared" ref="DE6" ca="1" si="80">IF(DE7=0,"Jul ✓", "Jul")</f>
        <v>Jul ✓</v>
      </c>
      <c r="DF6" s="36" t="str">
        <f t="shared" ref="DF6" ca="1" si="81">IF(DF7=0,"Aug ✓", "Aug")</f>
        <v>Aug ✓</v>
      </c>
      <c r="DG6" s="36" t="str">
        <f t="shared" ref="DG6" ca="1" si="82">IF(DG7=0,"Sep ✓", "Sep")</f>
        <v>Sep ✓</v>
      </c>
      <c r="DH6" s="36" t="str">
        <f t="shared" ref="DH6" ca="1" si="83">IF(DH7=0,"Okt ✓", "Okt")</f>
        <v>Okt ✓</v>
      </c>
      <c r="DI6" s="36" t="str">
        <f t="shared" ref="DI6" ca="1" si="84">IF(DI7=0,"Nov ✓", "Nov")</f>
        <v>Nov ✓</v>
      </c>
      <c r="DJ6" s="36" t="str">
        <f t="shared" ref="DJ6" ca="1" si="85">IF(DJ7=0,"Dez ✓", "Dez")</f>
        <v>Dez ✓</v>
      </c>
      <c r="DK6" s="36" t="str">
        <f t="shared" ref="DK6" ca="1" si="86">IF(DK7=0,"Total ✓", "Total")</f>
        <v>Total ✓</v>
      </c>
      <c r="DM6" s="35" t="str">
        <f t="shared" ref="DM6" ca="1" si="87">IF(DM7=0,"Jan ✓", "Jan")</f>
        <v>Jan ✓</v>
      </c>
      <c r="DN6" s="36" t="str">
        <f t="shared" ref="DN6" ca="1" si="88">IF(DN7=0,"Feb ✓", "Feb")</f>
        <v>Feb ✓</v>
      </c>
      <c r="DO6" s="36" t="str">
        <f t="shared" ref="DO6" ca="1" si="89">IF(DO7=0,"Mrz ✓", "Mrz")</f>
        <v>Mrz ✓</v>
      </c>
      <c r="DP6" s="36" t="str">
        <f t="shared" ref="DP6" ca="1" si="90">IF(DP7=0,"Apr ✓", "Apr")</f>
        <v>Apr ✓</v>
      </c>
      <c r="DQ6" s="36" t="str">
        <f t="shared" ref="DQ6" ca="1" si="91">IF(DQ7=0,"Mai ✓", "Mai")</f>
        <v>Mai ✓</v>
      </c>
      <c r="DR6" s="36" t="str">
        <f t="shared" ref="DR6" ca="1" si="92">IF(DR7=0,"Jun ✓", "Jun")</f>
        <v>Jun ✓</v>
      </c>
      <c r="DS6" s="36" t="str">
        <f t="shared" ref="DS6" ca="1" si="93">IF(DS7=0,"Jul ✓", "Jul")</f>
        <v>Jul ✓</v>
      </c>
      <c r="DT6" s="36" t="str">
        <f t="shared" ref="DT6" ca="1" si="94">IF(DT7=0,"Aug ✓", "Aug")</f>
        <v>Aug ✓</v>
      </c>
      <c r="DU6" s="36" t="str">
        <f t="shared" ref="DU6" ca="1" si="95">IF(DU7=0,"Sep ✓", "Sep")</f>
        <v>Sep ✓</v>
      </c>
      <c r="DV6" s="36" t="str">
        <f t="shared" ref="DV6" ca="1" si="96">IF(DV7=0,"Okt ✓", "Okt")</f>
        <v>Okt ✓</v>
      </c>
      <c r="DW6" s="36" t="str">
        <f t="shared" ref="DW6" ca="1" si="97">IF(DW7=0,"Nov ✓", "Nov")</f>
        <v>Nov ✓</v>
      </c>
      <c r="DX6" s="36" t="str">
        <f t="shared" ref="DX6" ca="1" si="98">IF(DX7=0,"Dez ✓", "Dez")</f>
        <v>Dez ✓</v>
      </c>
      <c r="DY6" s="36" t="str">
        <f t="shared" ref="DY6" ca="1" si="99">IF(DY7=0,"Total ✓", "Total")</f>
        <v>Total ✓</v>
      </c>
      <c r="EA6" s="35" t="str">
        <f t="shared" ref="EA6" ca="1" si="100">IF(EA7=0,"Jan ✓", "Jan")</f>
        <v>Jan ✓</v>
      </c>
      <c r="EB6" s="36" t="str">
        <f t="shared" ref="EB6" ca="1" si="101">IF(EB7=0,"Feb ✓", "Feb")</f>
        <v>Feb ✓</v>
      </c>
      <c r="EC6" s="36" t="str">
        <f t="shared" ref="EC6" ca="1" si="102">IF(EC7=0,"Mrz ✓", "Mrz")</f>
        <v>Mrz ✓</v>
      </c>
      <c r="ED6" s="36" t="str">
        <f t="shared" ref="ED6" ca="1" si="103">IF(ED7=0,"Apr ✓", "Apr")</f>
        <v>Apr ✓</v>
      </c>
      <c r="EE6" s="36" t="str">
        <f t="shared" ref="EE6" ca="1" si="104">IF(EE7=0,"Mai ✓", "Mai")</f>
        <v>Mai ✓</v>
      </c>
      <c r="EF6" s="36" t="str">
        <f t="shared" ref="EF6" ca="1" si="105">IF(EF7=0,"Jun ✓", "Jun")</f>
        <v>Jun ✓</v>
      </c>
      <c r="EG6" s="36" t="str">
        <f t="shared" ref="EG6" ca="1" si="106">IF(EG7=0,"Jul ✓", "Jul")</f>
        <v>Jul ✓</v>
      </c>
      <c r="EH6" s="36" t="str">
        <f t="shared" ref="EH6" ca="1" si="107">IF(EH7=0,"Aug ✓", "Aug")</f>
        <v>Aug ✓</v>
      </c>
      <c r="EI6" s="36" t="str">
        <f t="shared" ref="EI6" ca="1" si="108">IF(EI7=0,"Sep ✓", "Sep")</f>
        <v>Sep ✓</v>
      </c>
      <c r="EJ6" s="36" t="str">
        <f t="shared" ref="EJ6" ca="1" si="109">IF(EJ7=0,"Okt ✓", "Okt")</f>
        <v>Okt ✓</v>
      </c>
      <c r="EK6" s="36" t="str">
        <f t="shared" ref="EK6" ca="1" si="110">IF(EK7=0,"Nov ✓", "Nov")</f>
        <v>Nov ✓</v>
      </c>
      <c r="EL6" s="36" t="str">
        <f t="shared" ref="EL6" ca="1" si="111">IF(EL7=0,"Dez ✓", "Dez")</f>
        <v>Dez ✓</v>
      </c>
      <c r="EM6" s="36" t="str">
        <f t="shared" ref="EM6" ca="1" si="112">IF(EM7=0,"Total ✓", "Total")</f>
        <v>Total ✓</v>
      </c>
      <c r="EO6" s="35" t="str">
        <f t="shared" ref="EO6" ca="1" si="113">IF(EO7=0,"Jan ✓", "Jan")</f>
        <v>Jan ✓</v>
      </c>
      <c r="EP6" s="36" t="str">
        <f t="shared" ref="EP6" ca="1" si="114">IF(EP7=0,"Feb ✓", "Feb")</f>
        <v>Feb ✓</v>
      </c>
      <c r="EQ6" s="36" t="str">
        <f t="shared" ref="EQ6" ca="1" si="115">IF(EQ7=0,"Mrz ✓", "Mrz")</f>
        <v>Mrz ✓</v>
      </c>
      <c r="ER6" s="36" t="str">
        <f t="shared" ref="ER6" ca="1" si="116">IF(ER7=0,"Apr ✓", "Apr")</f>
        <v>Apr ✓</v>
      </c>
      <c r="ES6" s="36" t="str">
        <f t="shared" ref="ES6" ca="1" si="117">IF(ES7=0,"Mai ✓", "Mai")</f>
        <v>Mai ✓</v>
      </c>
      <c r="ET6" s="36" t="str">
        <f t="shared" ref="ET6" ca="1" si="118">IF(ET7=0,"Jun ✓", "Jun")</f>
        <v>Jun ✓</v>
      </c>
      <c r="EU6" s="36" t="str">
        <f t="shared" ref="EU6" ca="1" si="119">IF(EU7=0,"Jul ✓", "Jul")</f>
        <v>Jul ✓</v>
      </c>
      <c r="EV6" s="36" t="str">
        <f t="shared" ref="EV6" ca="1" si="120">IF(EV7=0,"Aug ✓", "Aug")</f>
        <v>Aug ✓</v>
      </c>
      <c r="EW6" s="36" t="str">
        <f t="shared" ref="EW6" ca="1" si="121">IF(EW7=0,"Sep ✓", "Sep")</f>
        <v>Sep ✓</v>
      </c>
      <c r="EX6" s="36" t="str">
        <f t="shared" ref="EX6" ca="1" si="122">IF(EX7=0,"Okt ✓", "Okt")</f>
        <v>Okt ✓</v>
      </c>
      <c r="EY6" s="36" t="str">
        <f t="shared" ref="EY6" ca="1" si="123">IF(EY7=0,"Nov ✓", "Nov")</f>
        <v>Nov ✓</v>
      </c>
      <c r="EZ6" s="36" t="str">
        <f t="shared" ref="EZ6" ca="1" si="124">IF(EZ7=0,"Dez ✓", "Dez")</f>
        <v>Dez ✓</v>
      </c>
      <c r="FA6" s="36" t="str">
        <f t="shared" ref="FA6" ca="1" si="125">IF(FA7=0,"Total ✓", "Total")</f>
        <v>Total ✓</v>
      </c>
    </row>
    <row r="7" spans="1:157" x14ac:dyDescent="0.3">
      <c r="C7" s="12" t="s">
        <v>21</v>
      </c>
      <c r="E7" s="37">
        <f t="shared" ref="E7:Q7" ca="1" si="126">E20-(E33+E46+E59)</f>
        <v>0</v>
      </c>
      <c r="F7" s="37">
        <f t="shared" ca="1" si="126"/>
        <v>0</v>
      </c>
      <c r="G7" s="37">
        <f t="shared" ca="1" si="126"/>
        <v>0</v>
      </c>
      <c r="H7" s="37">
        <f t="shared" ca="1" si="126"/>
        <v>0</v>
      </c>
      <c r="I7" s="37">
        <f t="shared" ca="1" si="126"/>
        <v>0</v>
      </c>
      <c r="J7" s="37">
        <f t="shared" ca="1" si="126"/>
        <v>0</v>
      </c>
      <c r="K7" s="37">
        <f t="shared" ca="1" si="126"/>
        <v>0</v>
      </c>
      <c r="L7" s="37">
        <f t="shared" ca="1" si="126"/>
        <v>0</v>
      </c>
      <c r="M7" s="37">
        <f t="shared" ca="1" si="126"/>
        <v>0</v>
      </c>
      <c r="N7" s="37">
        <f t="shared" ca="1" si="126"/>
        <v>0</v>
      </c>
      <c r="O7" s="37">
        <f t="shared" ca="1" si="126"/>
        <v>0</v>
      </c>
      <c r="P7" s="37">
        <f t="shared" ca="1" si="126"/>
        <v>0</v>
      </c>
      <c r="Q7" s="38">
        <f t="shared" ca="1" si="126"/>
        <v>0</v>
      </c>
      <c r="S7" s="37">
        <f t="shared" ref="S7:AE7" ca="1" si="127">S20-(S33+S46+S59)</f>
        <v>0</v>
      </c>
      <c r="T7" s="37">
        <f t="shared" ca="1" si="127"/>
        <v>0</v>
      </c>
      <c r="U7" s="37">
        <f t="shared" ca="1" si="127"/>
        <v>0</v>
      </c>
      <c r="V7" s="37">
        <f t="shared" ca="1" si="127"/>
        <v>0</v>
      </c>
      <c r="W7" s="37">
        <f t="shared" ca="1" si="127"/>
        <v>0</v>
      </c>
      <c r="X7" s="37">
        <f t="shared" ca="1" si="127"/>
        <v>0</v>
      </c>
      <c r="Y7" s="37">
        <f t="shared" ca="1" si="127"/>
        <v>0</v>
      </c>
      <c r="Z7" s="37">
        <f t="shared" ca="1" si="127"/>
        <v>0</v>
      </c>
      <c r="AA7" s="37">
        <f t="shared" ca="1" si="127"/>
        <v>0</v>
      </c>
      <c r="AB7" s="37">
        <f t="shared" ca="1" si="127"/>
        <v>0</v>
      </c>
      <c r="AC7" s="37">
        <f t="shared" ca="1" si="127"/>
        <v>0</v>
      </c>
      <c r="AD7" s="37">
        <f t="shared" ca="1" si="127"/>
        <v>0</v>
      </c>
      <c r="AE7" s="38">
        <f t="shared" ca="1" si="127"/>
        <v>0</v>
      </c>
      <c r="AG7" s="37">
        <f t="shared" ref="AG7:AS7" ca="1" si="128">AG20-(AG33+AG46+AG59)</f>
        <v>0</v>
      </c>
      <c r="AH7" s="37">
        <f t="shared" ca="1" si="128"/>
        <v>0</v>
      </c>
      <c r="AI7" s="37">
        <f t="shared" ca="1" si="128"/>
        <v>0</v>
      </c>
      <c r="AJ7" s="37">
        <f t="shared" ca="1" si="128"/>
        <v>0</v>
      </c>
      <c r="AK7" s="37">
        <f t="shared" ca="1" si="128"/>
        <v>0</v>
      </c>
      <c r="AL7" s="37">
        <f t="shared" ca="1" si="128"/>
        <v>0</v>
      </c>
      <c r="AM7" s="37">
        <f t="shared" ca="1" si="128"/>
        <v>0</v>
      </c>
      <c r="AN7" s="37">
        <f t="shared" ca="1" si="128"/>
        <v>0</v>
      </c>
      <c r="AO7" s="37">
        <f t="shared" ca="1" si="128"/>
        <v>0</v>
      </c>
      <c r="AP7" s="37">
        <f t="shared" ca="1" si="128"/>
        <v>0</v>
      </c>
      <c r="AQ7" s="37">
        <f t="shared" ca="1" si="128"/>
        <v>0</v>
      </c>
      <c r="AR7" s="37">
        <f t="shared" ca="1" si="128"/>
        <v>0</v>
      </c>
      <c r="AS7" s="38">
        <f t="shared" ca="1" si="128"/>
        <v>0</v>
      </c>
      <c r="AU7" s="37">
        <f t="shared" ref="AU7:BG7" ca="1" si="129">AU20-(AU33+AU46+AU59)</f>
        <v>0</v>
      </c>
      <c r="AV7" s="37">
        <f t="shared" ca="1" si="129"/>
        <v>0</v>
      </c>
      <c r="AW7" s="37">
        <f t="shared" ca="1" si="129"/>
        <v>0</v>
      </c>
      <c r="AX7" s="37">
        <f t="shared" ca="1" si="129"/>
        <v>0</v>
      </c>
      <c r="AY7" s="37">
        <f t="shared" ca="1" si="129"/>
        <v>0</v>
      </c>
      <c r="AZ7" s="37">
        <f t="shared" ca="1" si="129"/>
        <v>0</v>
      </c>
      <c r="BA7" s="37">
        <f t="shared" ca="1" si="129"/>
        <v>0</v>
      </c>
      <c r="BB7" s="37">
        <f t="shared" ca="1" si="129"/>
        <v>0</v>
      </c>
      <c r="BC7" s="37">
        <f t="shared" ca="1" si="129"/>
        <v>0</v>
      </c>
      <c r="BD7" s="37">
        <f t="shared" ca="1" si="129"/>
        <v>0</v>
      </c>
      <c r="BE7" s="37">
        <f t="shared" ca="1" si="129"/>
        <v>0</v>
      </c>
      <c r="BF7" s="37">
        <f t="shared" ca="1" si="129"/>
        <v>0</v>
      </c>
      <c r="BG7" s="38">
        <f t="shared" ca="1" si="129"/>
        <v>0</v>
      </c>
      <c r="BI7" s="37">
        <f t="shared" ref="BI7:BU7" ca="1" si="130">BI20-(BI33+BI46+BI59)</f>
        <v>0</v>
      </c>
      <c r="BJ7" s="37">
        <f t="shared" ca="1" si="130"/>
        <v>0</v>
      </c>
      <c r="BK7" s="37">
        <f t="shared" ca="1" si="130"/>
        <v>0</v>
      </c>
      <c r="BL7" s="37">
        <f t="shared" ca="1" si="130"/>
        <v>0</v>
      </c>
      <c r="BM7" s="37">
        <f t="shared" ca="1" si="130"/>
        <v>0</v>
      </c>
      <c r="BN7" s="37">
        <f t="shared" ca="1" si="130"/>
        <v>0</v>
      </c>
      <c r="BO7" s="37">
        <f t="shared" ca="1" si="130"/>
        <v>0</v>
      </c>
      <c r="BP7" s="37">
        <f t="shared" ca="1" si="130"/>
        <v>0</v>
      </c>
      <c r="BQ7" s="37">
        <f t="shared" ca="1" si="130"/>
        <v>0</v>
      </c>
      <c r="BR7" s="37">
        <f t="shared" ca="1" si="130"/>
        <v>0</v>
      </c>
      <c r="BS7" s="37">
        <f t="shared" ca="1" si="130"/>
        <v>0</v>
      </c>
      <c r="BT7" s="37">
        <f t="shared" ca="1" si="130"/>
        <v>0</v>
      </c>
      <c r="BU7" s="38">
        <f t="shared" ca="1" si="130"/>
        <v>0</v>
      </c>
      <c r="BW7" s="37">
        <f t="shared" ref="BW7:CI7" ca="1" si="131">BW20-(BW33+BW46+BW59)</f>
        <v>0</v>
      </c>
      <c r="BX7" s="37">
        <f t="shared" ca="1" si="131"/>
        <v>0</v>
      </c>
      <c r="BY7" s="37">
        <f t="shared" ca="1" si="131"/>
        <v>0</v>
      </c>
      <c r="BZ7" s="37">
        <f t="shared" ca="1" si="131"/>
        <v>0</v>
      </c>
      <c r="CA7" s="37">
        <f t="shared" ca="1" si="131"/>
        <v>0</v>
      </c>
      <c r="CB7" s="37">
        <f t="shared" ca="1" si="131"/>
        <v>0</v>
      </c>
      <c r="CC7" s="37">
        <f t="shared" ca="1" si="131"/>
        <v>0</v>
      </c>
      <c r="CD7" s="37">
        <f t="shared" ca="1" si="131"/>
        <v>0</v>
      </c>
      <c r="CE7" s="37">
        <f t="shared" ca="1" si="131"/>
        <v>0</v>
      </c>
      <c r="CF7" s="37">
        <f t="shared" ca="1" si="131"/>
        <v>0</v>
      </c>
      <c r="CG7" s="37">
        <f t="shared" ca="1" si="131"/>
        <v>0</v>
      </c>
      <c r="CH7" s="37">
        <f t="shared" ca="1" si="131"/>
        <v>0</v>
      </c>
      <c r="CI7" s="38">
        <f t="shared" ca="1" si="131"/>
        <v>0</v>
      </c>
      <c r="CK7" s="37">
        <f t="shared" ref="CK7:CW7" ca="1" si="132">CK20-(CK33+CK46+CK59)</f>
        <v>0</v>
      </c>
      <c r="CL7" s="37">
        <f t="shared" ca="1" si="132"/>
        <v>0</v>
      </c>
      <c r="CM7" s="37">
        <f t="shared" ca="1" si="132"/>
        <v>0</v>
      </c>
      <c r="CN7" s="37">
        <f t="shared" ca="1" si="132"/>
        <v>0</v>
      </c>
      <c r="CO7" s="37">
        <f t="shared" ca="1" si="132"/>
        <v>0</v>
      </c>
      <c r="CP7" s="37">
        <f t="shared" ca="1" si="132"/>
        <v>0</v>
      </c>
      <c r="CQ7" s="37">
        <f t="shared" ca="1" si="132"/>
        <v>0</v>
      </c>
      <c r="CR7" s="37">
        <f t="shared" ca="1" si="132"/>
        <v>0</v>
      </c>
      <c r="CS7" s="37">
        <f t="shared" ca="1" si="132"/>
        <v>0</v>
      </c>
      <c r="CT7" s="37">
        <f t="shared" ca="1" si="132"/>
        <v>0</v>
      </c>
      <c r="CU7" s="37">
        <f t="shared" ca="1" si="132"/>
        <v>0</v>
      </c>
      <c r="CV7" s="37">
        <f t="shared" ca="1" si="132"/>
        <v>0</v>
      </c>
      <c r="CW7" s="38">
        <f t="shared" ca="1" si="132"/>
        <v>0</v>
      </c>
      <c r="CY7" s="37">
        <f t="shared" ref="CY7:DK7" ca="1" si="133">CY20-(CY33+CY46+CY59)</f>
        <v>0</v>
      </c>
      <c r="CZ7" s="37">
        <f t="shared" ca="1" si="133"/>
        <v>0</v>
      </c>
      <c r="DA7" s="37">
        <f t="shared" ca="1" si="133"/>
        <v>0</v>
      </c>
      <c r="DB7" s="37">
        <f t="shared" ca="1" si="133"/>
        <v>0</v>
      </c>
      <c r="DC7" s="37">
        <f t="shared" ca="1" si="133"/>
        <v>0</v>
      </c>
      <c r="DD7" s="37">
        <f t="shared" ca="1" si="133"/>
        <v>0</v>
      </c>
      <c r="DE7" s="37">
        <f t="shared" ca="1" si="133"/>
        <v>0</v>
      </c>
      <c r="DF7" s="37">
        <f t="shared" ca="1" si="133"/>
        <v>0</v>
      </c>
      <c r="DG7" s="37">
        <f t="shared" ca="1" si="133"/>
        <v>0</v>
      </c>
      <c r="DH7" s="37">
        <f t="shared" ca="1" si="133"/>
        <v>0</v>
      </c>
      <c r="DI7" s="37">
        <f t="shared" ca="1" si="133"/>
        <v>0</v>
      </c>
      <c r="DJ7" s="37">
        <f t="shared" ca="1" si="133"/>
        <v>0</v>
      </c>
      <c r="DK7" s="38">
        <f t="shared" ca="1" si="133"/>
        <v>0</v>
      </c>
      <c r="DM7" s="37">
        <f t="shared" ref="DM7:DY7" ca="1" si="134">DM20-(DM33+DM46+DM59)</f>
        <v>0</v>
      </c>
      <c r="DN7" s="37">
        <f t="shared" ca="1" si="134"/>
        <v>0</v>
      </c>
      <c r="DO7" s="37">
        <f t="shared" ca="1" si="134"/>
        <v>0</v>
      </c>
      <c r="DP7" s="37">
        <f t="shared" ca="1" si="134"/>
        <v>0</v>
      </c>
      <c r="DQ7" s="37">
        <f t="shared" ca="1" si="134"/>
        <v>0</v>
      </c>
      <c r="DR7" s="37">
        <f t="shared" ca="1" si="134"/>
        <v>0</v>
      </c>
      <c r="DS7" s="37">
        <f t="shared" ca="1" si="134"/>
        <v>0</v>
      </c>
      <c r="DT7" s="37">
        <f t="shared" ca="1" si="134"/>
        <v>0</v>
      </c>
      <c r="DU7" s="37">
        <f t="shared" ca="1" si="134"/>
        <v>0</v>
      </c>
      <c r="DV7" s="37">
        <f t="shared" ca="1" si="134"/>
        <v>0</v>
      </c>
      <c r="DW7" s="37">
        <f t="shared" ca="1" si="134"/>
        <v>0</v>
      </c>
      <c r="DX7" s="37">
        <f t="shared" ca="1" si="134"/>
        <v>0</v>
      </c>
      <c r="DY7" s="38">
        <f t="shared" ca="1" si="134"/>
        <v>0</v>
      </c>
      <c r="EA7" s="37">
        <f t="shared" ref="EA7:EM7" ca="1" si="135">EA20-(EA33+EA46+EA59)</f>
        <v>0</v>
      </c>
      <c r="EB7" s="37">
        <f t="shared" ca="1" si="135"/>
        <v>0</v>
      </c>
      <c r="EC7" s="37">
        <f t="shared" ca="1" si="135"/>
        <v>0</v>
      </c>
      <c r="ED7" s="37">
        <f t="shared" ca="1" si="135"/>
        <v>0</v>
      </c>
      <c r="EE7" s="37">
        <f t="shared" ca="1" si="135"/>
        <v>0</v>
      </c>
      <c r="EF7" s="37">
        <f t="shared" ca="1" si="135"/>
        <v>0</v>
      </c>
      <c r="EG7" s="37">
        <f t="shared" ca="1" si="135"/>
        <v>0</v>
      </c>
      <c r="EH7" s="37">
        <f t="shared" ca="1" si="135"/>
        <v>0</v>
      </c>
      <c r="EI7" s="37">
        <f t="shared" ca="1" si="135"/>
        <v>0</v>
      </c>
      <c r="EJ7" s="37">
        <f t="shared" ca="1" si="135"/>
        <v>0</v>
      </c>
      <c r="EK7" s="37">
        <f t="shared" ca="1" si="135"/>
        <v>0</v>
      </c>
      <c r="EL7" s="37">
        <f t="shared" ca="1" si="135"/>
        <v>0</v>
      </c>
      <c r="EM7" s="38">
        <f t="shared" ca="1" si="135"/>
        <v>0</v>
      </c>
      <c r="EO7" s="37">
        <f t="shared" ref="EO7:FA7" ca="1" si="136">EO20-(EO33+EO46+EO59)</f>
        <v>0</v>
      </c>
      <c r="EP7" s="37">
        <f t="shared" ca="1" si="136"/>
        <v>0</v>
      </c>
      <c r="EQ7" s="37">
        <f t="shared" ca="1" si="136"/>
        <v>0</v>
      </c>
      <c r="ER7" s="37">
        <f t="shared" ca="1" si="136"/>
        <v>0</v>
      </c>
      <c r="ES7" s="37">
        <f t="shared" ca="1" si="136"/>
        <v>0</v>
      </c>
      <c r="ET7" s="37">
        <f t="shared" ca="1" si="136"/>
        <v>0</v>
      </c>
      <c r="EU7" s="37">
        <f t="shared" ca="1" si="136"/>
        <v>0</v>
      </c>
      <c r="EV7" s="37">
        <f t="shared" ca="1" si="136"/>
        <v>0</v>
      </c>
      <c r="EW7" s="37">
        <f t="shared" ca="1" si="136"/>
        <v>0</v>
      </c>
      <c r="EX7" s="37">
        <f t="shared" ca="1" si="136"/>
        <v>0</v>
      </c>
      <c r="EY7" s="37">
        <f t="shared" ca="1" si="136"/>
        <v>0</v>
      </c>
      <c r="EZ7" s="37">
        <f t="shared" ca="1" si="136"/>
        <v>0</v>
      </c>
      <c r="FA7" s="38">
        <f t="shared" ca="1" si="136"/>
        <v>0</v>
      </c>
    </row>
    <row r="9" spans="1:157" x14ac:dyDescent="0.3">
      <c r="C9" s="14" t="s">
        <v>20</v>
      </c>
      <c r="E9" s="15">
        <f>DATE(E$5,1,1)</f>
        <v>1</v>
      </c>
      <c r="F9" s="15">
        <f>DATE(E$5,2,1)</f>
        <v>32</v>
      </c>
      <c r="G9" s="15">
        <f>DATE(E$5,3,1)</f>
        <v>61</v>
      </c>
      <c r="H9" s="15">
        <f>DATE(E$5,4,1)</f>
        <v>92</v>
      </c>
      <c r="I9" s="15">
        <f>DATE(E$5,5,1)</f>
        <v>122</v>
      </c>
      <c r="J9" s="15">
        <f>DATE(E$5,6,1)</f>
        <v>153</v>
      </c>
      <c r="K9" s="15">
        <f>DATE(E$5,7,1)</f>
        <v>183</v>
      </c>
      <c r="L9" s="15">
        <f>DATE(E$5,8,1)</f>
        <v>214</v>
      </c>
      <c r="M9" s="15">
        <f>DATE(E$5,9,1)</f>
        <v>245</v>
      </c>
      <c r="N9" s="15">
        <f>DATE(E$5,10,1)</f>
        <v>275</v>
      </c>
      <c r="O9" s="15">
        <f>DATE(E$5,11,1)</f>
        <v>306</v>
      </c>
      <c r="P9" s="15">
        <f>DATE(E$5,12,1)</f>
        <v>336</v>
      </c>
      <c r="Q9" s="16">
        <f>E$5</f>
        <v>0</v>
      </c>
      <c r="S9" s="15">
        <f>DATE(S$5,1,1)</f>
        <v>367</v>
      </c>
      <c r="T9" s="15">
        <f>DATE(S$5,2,1)</f>
        <v>398</v>
      </c>
      <c r="U9" s="15">
        <f>DATE(S$5,3,1)</f>
        <v>426</v>
      </c>
      <c r="V9" s="15">
        <f>DATE(S$5,4,1)</f>
        <v>457</v>
      </c>
      <c r="W9" s="15">
        <f>DATE(S$5,5,1)</f>
        <v>487</v>
      </c>
      <c r="X9" s="15">
        <f>DATE(S$5,6,1)</f>
        <v>518</v>
      </c>
      <c r="Y9" s="15">
        <f>DATE(S$5,7,1)</f>
        <v>548</v>
      </c>
      <c r="Z9" s="15">
        <f>DATE(S$5,8,1)</f>
        <v>579</v>
      </c>
      <c r="AA9" s="15">
        <f>DATE(S$5,9,1)</f>
        <v>610</v>
      </c>
      <c r="AB9" s="15">
        <f>DATE(S$5,10,1)</f>
        <v>640</v>
      </c>
      <c r="AC9" s="15">
        <f>DATE(S$5,11,1)</f>
        <v>671</v>
      </c>
      <c r="AD9" s="15">
        <f>DATE(S$5,12,1)</f>
        <v>701</v>
      </c>
      <c r="AE9" s="16">
        <f>S$5</f>
        <v>1</v>
      </c>
      <c r="AG9" s="15">
        <f t="shared" ref="AG9" si="137">DATE(AG$5,1,1)</f>
        <v>732</v>
      </c>
      <c r="AH9" s="15">
        <f t="shared" ref="AH9" si="138">DATE(AG$5,2,1)</f>
        <v>763</v>
      </c>
      <c r="AI9" s="15">
        <f t="shared" ref="AI9" si="139">DATE(AG$5,3,1)</f>
        <v>791</v>
      </c>
      <c r="AJ9" s="15">
        <f t="shared" ref="AJ9" si="140">DATE(AG$5,4,1)</f>
        <v>822</v>
      </c>
      <c r="AK9" s="15">
        <f t="shared" ref="AK9" si="141">DATE(AG$5,5,1)</f>
        <v>852</v>
      </c>
      <c r="AL9" s="15">
        <f t="shared" ref="AL9" si="142">DATE(AG$5,6,1)</f>
        <v>883</v>
      </c>
      <c r="AM9" s="15">
        <f t="shared" ref="AM9" si="143">DATE(AG$5,7,1)</f>
        <v>913</v>
      </c>
      <c r="AN9" s="15">
        <f t="shared" ref="AN9" si="144">DATE(AG$5,8,1)</f>
        <v>944</v>
      </c>
      <c r="AO9" s="15">
        <f t="shared" ref="AO9" si="145">DATE(AG$5,9,1)</f>
        <v>975</v>
      </c>
      <c r="AP9" s="15">
        <f t="shared" ref="AP9" si="146">DATE(AG$5,10,1)</f>
        <v>1005</v>
      </c>
      <c r="AQ9" s="15">
        <f t="shared" ref="AQ9" si="147">DATE(AG$5,11,1)</f>
        <v>1036</v>
      </c>
      <c r="AR9" s="15">
        <f t="shared" ref="AR9" si="148">DATE(AG$5,12,1)</f>
        <v>1066</v>
      </c>
      <c r="AS9" s="16">
        <f t="shared" ref="AS9" si="149">AG$5</f>
        <v>2</v>
      </c>
      <c r="AU9" s="15">
        <f t="shared" ref="AU9" si="150">DATE(AU$5,1,1)</f>
        <v>1097</v>
      </c>
      <c r="AV9" s="15">
        <f t="shared" ref="AV9" si="151">DATE(AU$5,2,1)</f>
        <v>1128</v>
      </c>
      <c r="AW9" s="15">
        <f t="shared" ref="AW9" si="152">DATE(AU$5,3,1)</f>
        <v>1156</v>
      </c>
      <c r="AX9" s="15">
        <f t="shared" ref="AX9" si="153">DATE(AU$5,4,1)</f>
        <v>1187</v>
      </c>
      <c r="AY9" s="15">
        <f t="shared" ref="AY9" si="154">DATE(AU$5,5,1)</f>
        <v>1217</v>
      </c>
      <c r="AZ9" s="15">
        <f t="shared" ref="AZ9" si="155">DATE(AU$5,6,1)</f>
        <v>1248</v>
      </c>
      <c r="BA9" s="15">
        <f t="shared" ref="BA9" si="156">DATE(AU$5,7,1)</f>
        <v>1278</v>
      </c>
      <c r="BB9" s="15">
        <f t="shared" ref="BB9" si="157">DATE(AU$5,8,1)</f>
        <v>1309</v>
      </c>
      <c r="BC9" s="15">
        <f t="shared" ref="BC9" si="158">DATE(AU$5,9,1)</f>
        <v>1340</v>
      </c>
      <c r="BD9" s="15">
        <f t="shared" ref="BD9" si="159">DATE(AU$5,10,1)</f>
        <v>1370</v>
      </c>
      <c r="BE9" s="15">
        <f t="shared" ref="BE9" si="160">DATE(AU$5,11,1)</f>
        <v>1401</v>
      </c>
      <c r="BF9" s="15">
        <f t="shared" ref="BF9" si="161">DATE(AU$5,12,1)</f>
        <v>1431</v>
      </c>
      <c r="BG9" s="16">
        <f t="shared" ref="BG9" si="162">AU$5</f>
        <v>3</v>
      </c>
      <c r="BI9" s="15">
        <f t="shared" ref="BI9" si="163">DATE(BI$5,1,1)</f>
        <v>1462</v>
      </c>
      <c r="BJ9" s="15">
        <f t="shared" ref="BJ9" si="164">DATE(BI$5,2,1)</f>
        <v>1493</v>
      </c>
      <c r="BK9" s="15">
        <f t="shared" ref="BK9" si="165">DATE(BI$5,3,1)</f>
        <v>1522</v>
      </c>
      <c r="BL9" s="15">
        <f t="shared" ref="BL9" si="166">DATE(BI$5,4,1)</f>
        <v>1553</v>
      </c>
      <c r="BM9" s="15">
        <f t="shared" ref="BM9" si="167">DATE(BI$5,5,1)</f>
        <v>1583</v>
      </c>
      <c r="BN9" s="15">
        <f t="shared" ref="BN9" si="168">DATE(BI$5,6,1)</f>
        <v>1614</v>
      </c>
      <c r="BO9" s="15">
        <f t="shared" ref="BO9" si="169">DATE(BI$5,7,1)</f>
        <v>1644</v>
      </c>
      <c r="BP9" s="15">
        <f t="shared" ref="BP9" si="170">DATE(BI$5,8,1)</f>
        <v>1675</v>
      </c>
      <c r="BQ9" s="15">
        <f t="shared" ref="BQ9" si="171">DATE(BI$5,9,1)</f>
        <v>1706</v>
      </c>
      <c r="BR9" s="15">
        <f t="shared" ref="BR9" si="172">DATE(BI$5,10,1)</f>
        <v>1736</v>
      </c>
      <c r="BS9" s="15">
        <f t="shared" ref="BS9" si="173">DATE(BI$5,11,1)</f>
        <v>1767</v>
      </c>
      <c r="BT9" s="15">
        <f t="shared" ref="BT9" si="174">DATE(BI$5,12,1)</f>
        <v>1797</v>
      </c>
      <c r="BU9" s="16">
        <f t="shared" ref="BU9" si="175">BI$5</f>
        <v>4</v>
      </c>
      <c r="BW9" s="15">
        <f t="shared" ref="BW9" si="176">DATE(BW$5,1,1)</f>
        <v>1828</v>
      </c>
      <c r="BX9" s="15">
        <f t="shared" ref="BX9" si="177">DATE(BW$5,2,1)</f>
        <v>1859</v>
      </c>
      <c r="BY9" s="15">
        <f t="shared" ref="BY9" si="178">DATE(BW$5,3,1)</f>
        <v>1887</v>
      </c>
      <c r="BZ9" s="15">
        <f t="shared" ref="BZ9" si="179">DATE(BW$5,4,1)</f>
        <v>1918</v>
      </c>
      <c r="CA9" s="15">
        <f t="shared" ref="CA9" si="180">DATE(BW$5,5,1)</f>
        <v>1948</v>
      </c>
      <c r="CB9" s="15">
        <f t="shared" ref="CB9" si="181">DATE(BW$5,6,1)</f>
        <v>1979</v>
      </c>
      <c r="CC9" s="15">
        <f t="shared" ref="CC9" si="182">DATE(BW$5,7,1)</f>
        <v>2009</v>
      </c>
      <c r="CD9" s="15">
        <f t="shared" ref="CD9" si="183">DATE(BW$5,8,1)</f>
        <v>2040</v>
      </c>
      <c r="CE9" s="15">
        <f t="shared" ref="CE9" si="184">DATE(BW$5,9,1)</f>
        <v>2071</v>
      </c>
      <c r="CF9" s="15">
        <f t="shared" ref="CF9" si="185">DATE(BW$5,10,1)</f>
        <v>2101</v>
      </c>
      <c r="CG9" s="15">
        <f t="shared" ref="CG9" si="186">DATE(BW$5,11,1)</f>
        <v>2132</v>
      </c>
      <c r="CH9" s="15">
        <f t="shared" ref="CH9" si="187">DATE(BW$5,12,1)</f>
        <v>2162</v>
      </c>
      <c r="CI9" s="16">
        <f t="shared" ref="CI9" si="188">BW$5</f>
        <v>5</v>
      </c>
      <c r="CK9" s="15">
        <f t="shared" ref="CK9" si="189">DATE(CK$5,1,1)</f>
        <v>2193</v>
      </c>
      <c r="CL9" s="15">
        <f t="shared" ref="CL9" si="190">DATE(CK$5,2,1)</f>
        <v>2224</v>
      </c>
      <c r="CM9" s="15">
        <f t="shared" ref="CM9" si="191">DATE(CK$5,3,1)</f>
        <v>2252</v>
      </c>
      <c r="CN9" s="15">
        <f t="shared" ref="CN9" si="192">DATE(CK$5,4,1)</f>
        <v>2283</v>
      </c>
      <c r="CO9" s="15">
        <f t="shared" ref="CO9" si="193">DATE(CK$5,5,1)</f>
        <v>2313</v>
      </c>
      <c r="CP9" s="15">
        <f t="shared" ref="CP9" si="194">DATE(CK$5,6,1)</f>
        <v>2344</v>
      </c>
      <c r="CQ9" s="15">
        <f t="shared" ref="CQ9" si="195">DATE(CK$5,7,1)</f>
        <v>2374</v>
      </c>
      <c r="CR9" s="15">
        <f t="shared" ref="CR9" si="196">DATE(CK$5,8,1)</f>
        <v>2405</v>
      </c>
      <c r="CS9" s="15">
        <f t="shared" ref="CS9" si="197">DATE(CK$5,9,1)</f>
        <v>2436</v>
      </c>
      <c r="CT9" s="15">
        <f t="shared" ref="CT9" si="198">DATE(CK$5,10,1)</f>
        <v>2466</v>
      </c>
      <c r="CU9" s="15">
        <f t="shared" ref="CU9" si="199">DATE(CK$5,11,1)</f>
        <v>2497</v>
      </c>
      <c r="CV9" s="15">
        <f t="shared" ref="CV9" si="200">DATE(CK$5,12,1)</f>
        <v>2527</v>
      </c>
      <c r="CW9" s="16">
        <f t="shared" ref="CW9" si="201">CK$5</f>
        <v>6</v>
      </c>
      <c r="CY9" s="15">
        <f t="shared" ref="CY9" si="202">DATE(CY$5,1,1)</f>
        <v>2558</v>
      </c>
      <c r="CZ9" s="15">
        <f t="shared" ref="CZ9" si="203">DATE(CY$5,2,1)</f>
        <v>2589</v>
      </c>
      <c r="DA9" s="15">
        <f t="shared" ref="DA9" si="204">DATE(CY$5,3,1)</f>
        <v>2617</v>
      </c>
      <c r="DB9" s="15">
        <f t="shared" ref="DB9" si="205">DATE(CY$5,4,1)</f>
        <v>2648</v>
      </c>
      <c r="DC9" s="15">
        <f t="shared" ref="DC9" si="206">DATE(CY$5,5,1)</f>
        <v>2678</v>
      </c>
      <c r="DD9" s="15">
        <f t="shared" ref="DD9" si="207">DATE(CY$5,6,1)</f>
        <v>2709</v>
      </c>
      <c r="DE9" s="15">
        <f t="shared" ref="DE9" si="208">DATE(CY$5,7,1)</f>
        <v>2739</v>
      </c>
      <c r="DF9" s="15">
        <f t="shared" ref="DF9" si="209">DATE(CY$5,8,1)</f>
        <v>2770</v>
      </c>
      <c r="DG9" s="15">
        <f t="shared" ref="DG9" si="210">DATE(CY$5,9,1)</f>
        <v>2801</v>
      </c>
      <c r="DH9" s="15">
        <f t="shared" ref="DH9" si="211">DATE(CY$5,10,1)</f>
        <v>2831</v>
      </c>
      <c r="DI9" s="15">
        <f t="shared" ref="DI9" si="212">DATE(CY$5,11,1)</f>
        <v>2862</v>
      </c>
      <c r="DJ9" s="15">
        <f t="shared" ref="DJ9" si="213">DATE(CY$5,12,1)</f>
        <v>2892</v>
      </c>
      <c r="DK9" s="16">
        <f t="shared" ref="DK9" si="214">CY$5</f>
        <v>7</v>
      </c>
      <c r="DM9" s="15">
        <f t="shared" ref="DM9" si="215">DATE(DM$5,1,1)</f>
        <v>2923</v>
      </c>
      <c r="DN9" s="15">
        <f t="shared" ref="DN9" si="216">DATE(DM$5,2,1)</f>
        <v>2954</v>
      </c>
      <c r="DO9" s="15">
        <f t="shared" ref="DO9" si="217">DATE(DM$5,3,1)</f>
        <v>2983</v>
      </c>
      <c r="DP9" s="15">
        <f t="shared" ref="DP9" si="218">DATE(DM$5,4,1)</f>
        <v>3014</v>
      </c>
      <c r="DQ9" s="15">
        <f t="shared" ref="DQ9" si="219">DATE(DM$5,5,1)</f>
        <v>3044</v>
      </c>
      <c r="DR9" s="15">
        <f t="shared" ref="DR9" si="220">DATE(DM$5,6,1)</f>
        <v>3075</v>
      </c>
      <c r="DS9" s="15">
        <f t="shared" ref="DS9" si="221">DATE(DM$5,7,1)</f>
        <v>3105</v>
      </c>
      <c r="DT9" s="15">
        <f t="shared" ref="DT9" si="222">DATE(DM$5,8,1)</f>
        <v>3136</v>
      </c>
      <c r="DU9" s="15">
        <f t="shared" ref="DU9" si="223">DATE(DM$5,9,1)</f>
        <v>3167</v>
      </c>
      <c r="DV9" s="15">
        <f t="shared" ref="DV9" si="224">DATE(DM$5,10,1)</f>
        <v>3197</v>
      </c>
      <c r="DW9" s="15">
        <f t="shared" ref="DW9" si="225">DATE(DM$5,11,1)</f>
        <v>3228</v>
      </c>
      <c r="DX9" s="15">
        <f t="shared" ref="DX9" si="226">DATE(DM$5,12,1)</f>
        <v>3258</v>
      </c>
      <c r="DY9" s="16">
        <f t="shared" ref="DY9" si="227">DM$5</f>
        <v>8</v>
      </c>
      <c r="EA9" s="15">
        <f t="shared" ref="EA9" si="228">DATE(EA$5,1,1)</f>
        <v>3289</v>
      </c>
      <c r="EB9" s="15">
        <f t="shared" ref="EB9" si="229">DATE(EA$5,2,1)</f>
        <v>3320</v>
      </c>
      <c r="EC9" s="15">
        <f t="shared" ref="EC9" si="230">DATE(EA$5,3,1)</f>
        <v>3348</v>
      </c>
      <c r="ED9" s="15">
        <f t="shared" ref="ED9" si="231">DATE(EA$5,4,1)</f>
        <v>3379</v>
      </c>
      <c r="EE9" s="15">
        <f t="shared" ref="EE9" si="232">DATE(EA$5,5,1)</f>
        <v>3409</v>
      </c>
      <c r="EF9" s="15">
        <f t="shared" ref="EF9" si="233">DATE(EA$5,6,1)</f>
        <v>3440</v>
      </c>
      <c r="EG9" s="15">
        <f t="shared" ref="EG9" si="234">DATE(EA$5,7,1)</f>
        <v>3470</v>
      </c>
      <c r="EH9" s="15">
        <f t="shared" ref="EH9" si="235">DATE(EA$5,8,1)</f>
        <v>3501</v>
      </c>
      <c r="EI9" s="15">
        <f t="shared" ref="EI9" si="236">DATE(EA$5,9,1)</f>
        <v>3532</v>
      </c>
      <c r="EJ9" s="15">
        <f t="shared" ref="EJ9" si="237">DATE(EA$5,10,1)</f>
        <v>3562</v>
      </c>
      <c r="EK9" s="15">
        <f t="shared" ref="EK9" si="238">DATE(EA$5,11,1)</f>
        <v>3593</v>
      </c>
      <c r="EL9" s="15">
        <f t="shared" ref="EL9" si="239">DATE(EA$5,12,1)</f>
        <v>3623</v>
      </c>
      <c r="EM9" s="16">
        <f t="shared" ref="EM9" si="240">EA$5</f>
        <v>9</v>
      </c>
      <c r="EO9" s="15">
        <f t="shared" ref="EO9" si="241">DATE(EO$5,1,1)</f>
        <v>3654</v>
      </c>
      <c r="EP9" s="15">
        <f t="shared" ref="EP9" si="242">DATE(EO$5,2,1)</f>
        <v>3685</v>
      </c>
      <c r="EQ9" s="15">
        <f t="shared" ref="EQ9" si="243">DATE(EO$5,3,1)</f>
        <v>3713</v>
      </c>
      <c r="ER9" s="15">
        <f t="shared" ref="ER9" si="244">DATE(EO$5,4,1)</f>
        <v>3744</v>
      </c>
      <c r="ES9" s="15">
        <f t="shared" ref="ES9" si="245">DATE(EO$5,5,1)</f>
        <v>3774</v>
      </c>
      <c r="ET9" s="15">
        <f t="shared" ref="ET9" si="246">DATE(EO$5,6,1)</f>
        <v>3805</v>
      </c>
      <c r="EU9" s="15">
        <f t="shared" ref="EU9" si="247">DATE(EO$5,7,1)</f>
        <v>3835</v>
      </c>
      <c r="EV9" s="15">
        <f t="shared" ref="EV9" si="248">DATE(EO$5,8,1)</f>
        <v>3866</v>
      </c>
      <c r="EW9" s="15">
        <f t="shared" ref="EW9" si="249">DATE(EO$5,9,1)</f>
        <v>3897</v>
      </c>
      <c r="EX9" s="15">
        <f t="shared" ref="EX9" si="250">DATE(EO$5,10,1)</f>
        <v>3927</v>
      </c>
      <c r="EY9" s="15">
        <f t="shared" ref="EY9" si="251">DATE(EO$5,11,1)</f>
        <v>3958</v>
      </c>
      <c r="EZ9" s="15">
        <f t="shared" ref="EZ9" si="252">DATE(EO$5,12,1)</f>
        <v>3988</v>
      </c>
      <c r="FA9" s="16">
        <f t="shared" ref="FA9" si="253">EO$5</f>
        <v>10</v>
      </c>
    </row>
    <row r="10" spans="1:157" x14ac:dyDescent="0.3">
      <c r="C10" s="18" t="s">
        <v>41</v>
      </c>
      <c r="E10" s="19"/>
      <c r="F10" s="19"/>
      <c r="G10" s="19"/>
      <c r="H10" s="19"/>
      <c r="I10" s="19"/>
      <c r="J10" s="19"/>
      <c r="K10" s="19"/>
      <c r="L10" s="19"/>
      <c r="M10" s="19"/>
      <c r="N10" s="19"/>
      <c r="O10" s="19"/>
      <c r="P10" s="19"/>
      <c r="Q10" s="21">
        <f>SUM(E10:P10)</f>
        <v>0</v>
      </c>
      <c r="S10" s="19"/>
      <c r="T10" s="19"/>
      <c r="U10" s="19"/>
      <c r="V10" s="19"/>
      <c r="W10" s="19"/>
      <c r="X10" s="19"/>
      <c r="Y10" s="19"/>
      <c r="Z10" s="19"/>
      <c r="AA10" s="19"/>
      <c r="AB10" s="19"/>
      <c r="AC10" s="19"/>
      <c r="AD10" s="19"/>
      <c r="AE10" s="21">
        <f>SUM(S10:AD10)</f>
        <v>0</v>
      </c>
      <c r="AG10" s="19"/>
      <c r="AH10" s="19"/>
      <c r="AI10" s="19"/>
      <c r="AJ10" s="19"/>
      <c r="AK10" s="19"/>
      <c r="AL10" s="19"/>
      <c r="AM10" s="19"/>
      <c r="AN10" s="19"/>
      <c r="AO10" s="19"/>
      <c r="AP10" s="19"/>
      <c r="AQ10" s="19"/>
      <c r="AR10" s="19"/>
      <c r="AS10" s="21">
        <f t="shared" ref="AS10:AS19" si="254">SUM(AG10:AR10)</f>
        <v>0</v>
      </c>
      <c r="AU10" s="19"/>
      <c r="AV10" s="19"/>
      <c r="AW10" s="19"/>
      <c r="AX10" s="19"/>
      <c r="AY10" s="19"/>
      <c r="AZ10" s="19"/>
      <c r="BA10" s="19"/>
      <c r="BB10" s="19"/>
      <c r="BC10" s="19"/>
      <c r="BD10" s="19"/>
      <c r="BE10" s="19"/>
      <c r="BF10" s="19"/>
      <c r="BG10" s="21">
        <f t="shared" ref="BG10:BG19" si="255">SUM(AU10:BF10)</f>
        <v>0</v>
      </c>
      <c r="BI10" s="19"/>
      <c r="BJ10" s="19"/>
      <c r="BK10" s="19"/>
      <c r="BL10" s="19"/>
      <c r="BM10" s="19"/>
      <c r="BN10" s="19"/>
      <c r="BO10" s="19"/>
      <c r="BP10" s="19"/>
      <c r="BQ10" s="19"/>
      <c r="BR10" s="19"/>
      <c r="BS10" s="19"/>
      <c r="BT10" s="19"/>
      <c r="BU10" s="21">
        <f t="shared" ref="BU10:BU19" si="256">SUM(BI10:BT10)</f>
        <v>0</v>
      </c>
      <c r="BW10" s="19"/>
      <c r="BX10" s="19"/>
      <c r="BY10" s="19"/>
      <c r="BZ10" s="19"/>
      <c r="CA10" s="19"/>
      <c r="CB10" s="19"/>
      <c r="CC10" s="19"/>
      <c r="CD10" s="19"/>
      <c r="CE10" s="19"/>
      <c r="CF10" s="19"/>
      <c r="CG10" s="19"/>
      <c r="CH10" s="19"/>
      <c r="CI10" s="21">
        <f t="shared" ref="CI10:CI19" si="257">SUM(BW10:CH10)</f>
        <v>0</v>
      </c>
      <c r="CK10" s="19"/>
      <c r="CL10" s="19"/>
      <c r="CM10" s="19"/>
      <c r="CN10" s="19"/>
      <c r="CO10" s="19"/>
      <c r="CP10" s="19"/>
      <c r="CQ10" s="19"/>
      <c r="CR10" s="19"/>
      <c r="CS10" s="19"/>
      <c r="CT10" s="19"/>
      <c r="CU10" s="19"/>
      <c r="CV10" s="19"/>
      <c r="CW10" s="21">
        <f t="shared" ref="CW10:CW19" si="258">SUM(CK10:CV10)</f>
        <v>0</v>
      </c>
      <c r="CY10" s="19"/>
      <c r="CZ10" s="19"/>
      <c r="DA10" s="19"/>
      <c r="DB10" s="19"/>
      <c r="DC10" s="19"/>
      <c r="DD10" s="19"/>
      <c r="DE10" s="19"/>
      <c r="DF10" s="19"/>
      <c r="DG10" s="19"/>
      <c r="DH10" s="19"/>
      <c r="DI10" s="19"/>
      <c r="DJ10" s="19"/>
      <c r="DK10" s="21">
        <f t="shared" ref="DK10:DK19" si="259">SUM(CY10:DJ10)</f>
        <v>0</v>
      </c>
      <c r="DM10" s="19"/>
      <c r="DN10" s="19"/>
      <c r="DO10" s="19"/>
      <c r="DP10" s="19"/>
      <c r="DQ10" s="19"/>
      <c r="DR10" s="19"/>
      <c r="DS10" s="19"/>
      <c r="DT10" s="19"/>
      <c r="DU10" s="19"/>
      <c r="DV10" s="19"/>
      <c r="DW10" s="19"/>
      <c r="DX10" s="19"/>
      <c r="DY10" s="21">
        <f t="shared" ref="DY10:DY19" si="260">SUM(DM10:DX10)</f>
        <v>0</v>
      </c>
      <c r="EA10" s="19"/>
      <c r="EB10" s="19"/>
      <c r="EC10" s="19"/>
      <c r="ED10" s="19"/>
      <c r="EE10" s="19"/>
      <c r="EF10" s="19"/>
      <c r="EG10" s="19"/>
      <c r="EH10" s="19"/>
      <c r="EI10" s="19"/>
      <c r="EJ10" s="19"/>
      <c r="EK10" s="19"/>
      <c r="EL10" s="19"/>
      <c r="EM10" s="21">
        <f t="shared" ref="EM10:EM19" si="261">SUM(EA10:EL10)</f>
        <v>0</v>
      </c>
      <c r="EO10" s="19"/>
      <c r="EP10" s="19"/>
      <c r="EQ10" s="19"/>
      <c r="ER10" s="19"/>
      <c r="ES10" s="19"/>
      <c r="ET10" s="19"/>
      <c r="EU10" s="19"/>
      <c r="EV10" s="19"/>
      <c r="EW10" s="19"/>
      <c r="EX10" s="19"/>
      <c r="EY10" s="19"/>
      <c r="EZ10" s="19"/>
      <c r="FA10" s="21">
        <f t="shared" ref="FA10:FA19" si="262">SUM(EO10:EZ10)</f>
        <v>0</v>
      </c>
    </row>
    <row r="11" spans="1:157" x14ac:dyDescent="0.3">
      <c r="C11" s="18" t="s">
        <v>42</v>
      </c>
      <c r="E11" s="19"/>
      <c r="F11" s="19"/>
      <c r="G11" s="19"/>
      <c r="H11" s="19"/>
      <c r="I11" s="19"/>
      <c r="J11" s="19"/>
      <c r="K11" s="19"/>
      <c r="L11" s="19"/>
      <c r="M11" s="19"/>
      <c r="N11" s="19"/>
      <c r="O11" s="19"/>
      <c r="P11" s="19"/>
      <c r="Q11" s="21">
        <f t="shared" ref="Q11:Q19" si="263">SUM(E11:P11)</f>
        <v>0</v>
      </c>
      <c r="S11" s="19"/>
      <c r="T11" s="19"/>
      <c r="U11" s="19"/>
      <c r="V11" s="19"/>
      <c r="W11" s="19"/>
      <c r="X11" s="19"/>
      <c r="Y11" s="19"/>
      <c r="Z11" s="19"/>
      <c r="AA11" s="19"/>
      <c r="AB11" s="19"/>
      <c r="AC11" s="19"/>
      <c r="AD11" s="19"/>
      <c r="AE11" s="21">
        <f t="shared" ref="AE11:AE19" si="264">SUM(S11:AD11)</f>
        <v>0</v>
      </c>
      <c r="AG11" s="19"/>
      <c r="AH11" s="19"/>
      <c r="AI11" s="19"/>
      <c r="AJ11" s="19"/>
      <c r="AK11" s="19"/>
      <c r="AL11" s="19"/>
      <c r="AM11" s="19"/>
      <c r="AN11" s="19"/>
      <c r="AO11" s="19"/>
      <c r="AP11" s="19"/>
      <c r="AQ11" s="19"/>
      <c r="AR11" s="19"/>
      <c r="AS11" s="21">
        <f t="shared" si="254"/>
        <v>0</v>
      </c>
      <c r="AU11" s="19"/>
      <c r="AV11" s="19"/>
      <c r="AW11" s="19"/>
      <c r="AX11" s="19"/>
      <c r="AY11" s="19"/>
      <c r="AZ11" s="19"/>
      <c r="BA11" s="19"/>
      <c r="BB11" s="19"/>
      <c r="BC11" s="19"/>
      <c r="BD11" s="19"/>
      <c r="BE11" s="19"/>
      <c r="BF11" s="19"/>
      <c r="BG11" s="21">
        <f t="shared" si="255"/>
        <v>0</v>
      </c>
      <c r="BI11" s="19"/>
      <c r="BJ11" s="19"/>
      <c r="BK11" s="19"/>
      <c r="BL11" s="19"/>
      <c r="BM11" s="19"/>
      <c r="BN11" s="19"/>
      <c r="BO11" s="19"/>
      <c r="BP11" s="19"/>
      <c r="BQ11" s="19"/>
      <c r="BR11" s="19"/>
      <c r="BS11" s="19"/>
      <c r="BT11" s="19"/>
      <c r="BU11" s="21">
        <f t="shared" si="256"/>
        <v>0</v>
      </c>
      <c r="BW11" s="19"/>
      <c r="BX11" s="19"/>
      <c r="BY11" s="19"/>
      <c r="BZ11" s="19"/>
      <c r="CA11" s="19"/>
      <c r="CB11" s="19"/>
      <c r="CC11" s="19"/>
      <c r="CD11" s="19"/>
      <c r="CE11" s="19"/>
      <c r="CF11" s="19"/>
      <c r="CG11" s="19"/>
      <c r="CH11" s="19"/>
      <c r="CI11" s="21">
        <f t="shared" si="257"/>
        <v>0</v>
      </c>
      <c r="CK11" s="19"/>
      <c r="CL11" s="19"/>
      <c r="CM11" s="19"/>
      <c r="CN11" s="19"/>
      <c r="CO11" s="19"/>
      <c r="CP11" s="19"/>
      <c r="CQ11" s="19"/>
      <c r="CR11" s="19"/>
      <c r="CS11" s="19"/>
      <c r="CT11" s="19"/>
      <c r="CU11" s="19"/>
      <c r="CV11" s="19"/>
      <c r="CW11" s="21">
        <f t="shared" si="258"/>
        <v>0</v>
      </c>
      <c r="CY11" s="19"/>
      <c r="CZ11" s="19"/>
      <c r="DA11" s="19"/>
      <c r="DB11" s="19"/>
      <c r="DC11" s="19"/>
      <c r="DD11" s="19"/>
      <c r="DE11" s="19"/>
      <c r="DF11" s="19"/>
      <c r="DG11" s="19"/>
      <c r="DH11" s="19"/>
      <c r="DI11" s="19"/>
      <c r="DJ11" s="19"/>
      <c r="DK11" s="21">
        <f t="shared" si="259"/>
        <v>0</v>
      </c>
      <c r="DM11" s="19"/>
      <c r="DN11" s="19"/>
      <c r="DO11" s="19"/>
      <c r="DP11" s="19"/>
      <c r="DQ11" s="19"/>
      <c r="DR11" s="19"/>
      <c r="DS11" s="19"/>
      <c r="DT11" s="19"/>
      <c r="DU11" s="19"/>
      <c r="DV11" s="19"/>
      <c r="DW11" s="19"/>
      <c r="DX11" s="19"/>
      <c r="DY11" s="21">
        <f t="shared" si="260"/>
        <v>0</v>
      </c>
      <c r="EA11" s="19"/>
      <c r="EB11" s="19"/>
      <c r="EC11" s="19"/>
      <c r="ED11" s="19"/>
      <c r="EE11" s="19"/>
      <c r="EF11" s="19"/>
      <c r="EG11" s="19"/>
      <c r="EH11" s="19"/>
      <c r="EI11" s="19"/>
      <c r="EJ11" s="19"/>
      <c r="EK11" s="19"/>
      <c r="EL11" s="19"/>
      <c r="EM11" s="21">
        <f t="shared" si="261"/>
        <v>0</v>
      </c>
      <c r="EO11" s="19"/>
      <c r="EP11" s="19"/>
      <c r="EQ11" s="19"/>
      <c r="ER11" s="19"/>
      <c r="ES11" s="19"/>
      <c r="ET11" s="19"/>
      <c r="EU11" s="19"/>
      <c r="EV11" s="19"/>
      <c r="EW11" s="19"/>
      <c r="EX11" s="19"/>
      <c r="EY11" s="19"/>
      <c r="EZ11" s="19"/>
      <c r="FA11" s="21">
        <f t="shared" si="262"/>
        <v>0</v>
      </c>
    </row>
    <row r="12" spans="1:157" x14ac:dyDescent="0.3">
      <c r="C12" s="18" t="s">
        <v>45</v>
      </c>
      <c r="E12" s="19"/>
      <c r="F12" s="19"/>
      <c r="G12" s="19"/>
      <c r="H12" s="19"/>
      <c r="I12" s="19"/>
      <c r="J12" s="19"/>
      <c r="K12" s="19"/>
      <c r="L12" s="19"/>
      <c r="M12" s="19"/>
      <c r="N12" s="19"/>
      <c r="O12" s="19"/>
      <c r="P12" s="19"/>
      <c r="Q12" s="21">
        <f t="shared" si="263"/>
        <v>0</v>
      </c>
      <c r="S12" s="19"/>
      <c r="T12" s="19"/>
      <c r="U12" s="19"/>
      <c r="V12" s="19"/>
      <c r="W12" s="19"/>
      <c r="X12" s="19"/>
      <c r="Y12" s="19"/>
      <c r="Z12" s="19"/>
      <c r="AA12" s="19"/>
      <c r="AB12" s="19"/>
      <c r="AC12" s="19"/>
      <c r="AD12" s="19"/>
      <c r="AE12" s="21">
        <f t="shared" si="264"/>
        <v>0</v>
      </c>
      <c r="AG12" s="19"/>
      <c r="AH12" s="19"/>
      <c r="AI12" s="19"/>
      <c r="AJ12" s="19"/>
      <c r="AK12" s="19"/>
      <c r="AL12" s="19"/>
      <c r="AM12" s="19"/>
      <c r="AN12" s="19"/>
      <c r="AO12" s="19"/>
      <c r="AP12" s="19"/>
      <c r="AQ12" s="19"/>
      <c r="AR12" s="19"/>
      <c r="AS12" s="21">
        <f t="shared" si="254"/>
        <v>0</v>
      </c>
      <c r="AU12" s="19"/>
      <c r="AV12" s="19"/>
      <c r="AW12" s="19"/>
      <c r="AX12" s="19"/>
      <c r="AY12" s="19"/>
      <c r="AZ12" s="19"/>
      <c r="BA12" s="19"/>
      <c r="BB12" s="19"/>
      <c r="BC12" s="19"/>
      <c r="BD12" s="19"/>
      <c r="BE12" s="19"/>
      <c r="BF12" s="19"/>
      <c r="BG12" s="21">
        <f t="shared" si="255"/>
        <v>0</v>
      </c>
      <c r="BI12" s="19"/>
      <c r="BJ12" s="19"/>
      <c r="BK12" s="19"/>
      <c r="BL12" s="19"/>
      <c r="BM12" s="19"/>
      <c r="BN12" s="19"/>
      <c r="BO12" s="19"/>
      <c r="BP12" s="19"/>
      <c r="BQ12" s="19"/>
      <c r="BR12" s="19"/>
      <c r="BS12" s="19"/>
      <c r="BT12" s="19"/>
      <c r="BU12" s="21">
        <f t="shared" si="256"/>
        <v>0</v>
      </c>
      <c r="BW12" s="19"/>
      <c r="BX12" s="19"/>
      <c r="BY12" s="19"/>
      <c r="BZ12" s="19"/>
      <c r="CA12" s="19"/>
      <c r="CB12" s="19"/>
      <c r="CC12" s="19"/>
      <c r="CD12" s="19"/>
      <c r="CE12" s="19"/>
      <c r="CF12" s="19"/>
      <c r="CG12" s="19"/>
      <c r="CH12" s="19"/>
      <c r="CI12" s="21">
        <f t="shared" si="257"/>
        <v>0</v>
      </c>
      <c r="CK12" s="19"/>
      <c r="CL12" s="19"/>
      <c r="CM12" s="19"/>
      <c r="CN12" s="19"/>
      <c r="CO12" s="19"/>
      <c r="CP12" s="19"/>
      <c r="CQ12" s="19"/>
      <c r="CR12" s="19"/>
      <c r="CS12" s="19"/>
      <c r="CT12" s="19"/>
      <c r="CU12" s="19"/>
      <c r="CV12" s="19"/>
      <c r="CW12" s="21">
        <f t="shared" si="258"/>
        <v>0</v>
      </c>
      <c r="CY12" s="19"/>
      <c r="CZ12" s="19"/>
      <c r="DA12" s="19"/>
      <c r="DB12" s="19"/>
      <c r="DC12" s="19"/>
      <c r="DD12" s="19"/>
      <c r="DE12" s="19"/>
      <c r="DF12" s="19"/>
      <c r="DG12" s="19"/>
      <c r="DH12" s="19"/>
      <c r="DI12" s="19"/>
      <c r="DJ12" s="19"/>
      <c r="DK12" s="21">
        <f t="shared" si="259"/>
        <v>0</v>
      </c>
      <c r="DM12" s="19"/>
      <c r="DN12" s="19"/>
      <c r="DO12" s="19"/>
      <c r="DP12" s="19"/>
      <c r="DQ12" s="19"/>
      <c r="DR12" s="19"/>
      <c r="DS12" s="19"/>
      <c r="DT12" s="19"/>
      <c r="DU12" s="19"/>
      <c r="DV12" s="19"/>
      <c r="DW12" s="19"/>
      <c r="DX12" s="19"/>
      <c r="DY12" s="21">
        <f t="shared" si="260"/>
        <v>0</v>
      </c>
      <c r="EA12" s="19"/>
      <c r="EB12" s="19"/>
      <c r="EC12" s="19"/>
      <c r="ED12" s="19"/>
      <c r="EE12" s="19"/>
      <c r="EF12" s="19"/>
      <c r="EG12" s="19"/>
      <c r="EH12" s="19"/>
      <c r="EI12" s="19"/>
      <c r="EJ12" s="19"/>
      <c r="EK12" s="19"/>
      <c r="EL12" s="19"/>
      <c r="EM12" s="21">
        <f t="shared" si="261"/>
        <v>0</v>
      </c>
      <c r="EO12" s="19"/>
      <c r="EP12" s="19"/>
      <c r="EQ12" s="19"/>
      <c r="ER12" s="19"/>
      <c r="ES12" s="19"/>
      <c r="ET12" s="19"/>
      <c r="EU12" s="19"/>
      <c r="EV12" s="19"/>
      <c r="EW12" s="19"/>
      <c r="EX12" s="19"/>
      <c r="EY12" s="19"/>
      <c r="EZ12" s="19"/>
      <c r="FA12" s="21">
        <f t="shared" si="262"/>
        <v>0</v>
      </c>
    </row>
    <row r="13" spans="1:157" hidden="1" x14ac:dyDescent="0.3">
      <c r="C13" s="18" t="s">
        <v>23</v>
      </c>
      <c r="E13" s="19">
        <v>1000</v>
      </c>
      <c r="F13" s="19"/>
      <c r="G13" s="19"/>
      <c r="H13" s="19"/>
      <c r="I13" s="19"/>
      <c r="J13" s="19"/>
      <c r="K13" s="19"/>
      <c r="L13" s="19"/>
      <c r="M13" s="19"/>
      <c r="N13" s="19"/>
      <c r="O13" s="19"/>
      <c r="P13" s="19"/>
      <c r="Q13" s="21">
        <f t="shared" si="263"/>
        <v>1000</v>
      </c>
      <c r="S13" s="19"/>
      <c r="T13" s="19"/>
      <c r="U13" s="19"/>
      <c r="V13" s="19"/>
      <c r="W13" s="19"/>
      <c r="X13" s="19"/>
      <c r="Y13" s="19"/>
      <c r="Z13" s="19"/>
      <c r="AA13" s="19"/>
      <c r="AB13" s="19"/>
      <c r="AC13" s="19"/>
      <c r="AD13" s="19"/>
      <c r="AE13" s="21">
        <f t="shared" si="264"/>
        <v>0</v>
      </c>
      <c r="AG13" s="19"/>
      <c r="AH13" s="19"/>
      <c r="AI13" s="19"/>
      <c r="AJ13" s="19"/>
      <c r="AK13" s="19"/>
      <c r="AL13" s="19"/>
      <c r="AM13" s="19"/>
      <c r="AN13" s="19"/>
      <c r="AO13" s="19"/>
      <c r="AP13" s="19"/>
      <c r="AQ13" s="19"/>
      <c r="AR13" s="19"/>
      <c r="AS13" s="21">
        <f t="shared" si="254"/>
        <v>0</v>
      </c>
      <c r="AU13" s="19"/>
      <c r="AV13" s="19"/>
      <c r="AW13" s="19"/>
      <c r="AX13" s="19"/>
      <c r="AY13" s="19"/>
      <c r="AZ13" s="19"/>
      <c r="BA13" s="19"/>
      <c r="BB13" s="19"/>
      <c r="BC13" s="19"/>
      <c r="BD13" s="19"/>
      <c r="BE13" s="19"/>
      <c r="BF13" s="19"/>
      <c r="BG13" s="21">
        <f t="shared" si="255"/>
        <v>0</v>
      </c>
      <c r="BI13" s="19"/>
      <c r="BJ13" s="19"/>
      <c r="BK13" s="19"/>
      <c r="BL13" s="19"/>
      <c r="BM13" s="19"/>
      <c r="BN13" s="19"/>
      <c r="BO13" s="19"/>
      <c r="BP13" s="19"/>
      <c r="BQ13" s="19"/>
      <c r="BR13" s="19"/>
      <c r="BS13" s="19"/>
      <c r="BT13" s="19"/>
      <c r="BU13" s="21">
        <f t="shared" si="256"/>
        <v>0</v>
      </c>
      <c r="BW13" s="19"/>
      <c r="BX13" s="19"/>
      <c r="BY13" s="19"/>
      <c r="BZ13" s="19"/>
      <c r="CA13" s="19"/>
      <c r="CB13" s="19"/>
      <c r="CC13" s="19"/>
      <c r="CD13" s="19"/>
      <c r="CE13" s="19"/>
      <c r="CF13" s="19"/>
      <c r="CG13" s="19"/>
      <c r="CH13" s="19"/>
      <c r="CI13" s="21">
        <f t="shared" si="257"/>
        <v>0</v>
      </c>
      <c r="CK13" s="19"/>
      <c r="CL13" s="19"/>
      <c r="CM13" s="19"/>
      <c r="CN13" s="19"/>
      <c r="CO13" s="19"/>
      <c r="CP13" s="19"/>
      <c r="CQ13" s="19"/>
      <c r="CR13" s="19"/>
      <c r="CS13" s="19"/>
      <c r="CT13" s="19"/>
      <c r="CU13" s="19"/>
      <c r="CV13" s="19"/>
      <c r="CW13" s="21">
        <f t="shared" si="258"/>
        <v>0</v>
      </c>
      <c r="CY13" s="19"/>
      <c r="CZ13" s="19"/>
      <c r="DA13" s="19"/>
      <c r="DB13" s="19"/>
      <c r="DC13" s="19"/>
      <c r="DD13" s="19"/>
      <c r="DE13" s="19"/>
      <c r="DF13" s="19"/>
      <c r="DG13" s="19"/>
      <c r="DH13" s="19"/>
      <c r="DI13" s="19"/>
      <c r="DJ13" s="19"/>
      <c r="DK13" s="21">
        <f t="shared" si="259"/>
        <v>0</v>
      </c>
      <c r="DM13" s="19"/>
      <c r="DN13" s="19"/>
      <c r="DO13" s="19"/>
      <c r="DP13" s="19"/>
      <c r="DQ13" s="19"/>
      <c r="DR13" s="19"/>
      <c r="DS13" s="19"/>
      <c r="DT13" s="19"/>
      <c r="DU13" s="19"/>
      <c r="DV13" s="19"/>
      <c r="DW13" s="19"/>
      <c r="DX13" s="19"/>
      <c r="DY13" s="21">
        <f t="shared" si="260"/>
        <v>0</v>
      </c>
      <c r="EA13" s="19"/>
      <c r="EB13" s="19"/>
      <c r="EC13" s="19"/>
      <c r="ED13" s="19"/>
      <c r="EE13" s="19"/>
      <c r="EF13" s="19"/>
      <c r="EG13" s="19"/>
      <c r="EH13" s="19"/>
      <c r="EI13" s="19"/>
      <c r="EJ13" s="19"/>
      <c r="EK13" s="19"/>
      <c r="EL13" s="19"/>
      <c r="EM13" s="21">
        <f t="shared" si="261"/>
        <v>0</v>
      </c>
      <c r="EO13" s="19"/>
      <c r="EP13" s="19"/>
      <c r="EQ13" s="19"/>
      <c r="ER13" s="19"/>
      <c r="ES13" s="19"/>
      <c r="ET13" s="19"/>
      <c r="EU13" s="19"/>
      <c r="EV13" s="19"/>
      <c r="EW13" s="19"/>
      <c r="EX13" s="19"/>
      <c r="EY13" s="19"/>
      <c r="EZ13" s="19"/>
      <c r="FA13" s="21">
        <f t="shared" si="262"/>
        <v>0</v>
      </c>
    </row>
    <row r="14" spans="1:157" hidden="1" x14ac:dyDescent="0.3">
      <c r="C14" s="18" t="s">
        <v>23</v>
      </c>
      <c r="E14" s="19">
        <v>1000</v>
      </c>
      <c r="F14" s="19"/>
      <c r="G14" s="19"/>
      <c r="H14" s="19"/>
      <c r="I14" s="19"/>
      <c r="J14" s="19"/>
      <c r="K14" s="19"/>
      <c r="L14" s="19"/>
      <c r="M14" s="19"/>
      <c r="N14" s="19"/>
      <c r="O14" s="19"/>
      <c r="P14" s="19"/>
      <c r="Q14" s="21">
        <f t="shared" si="263"/>
        <v>1000</v>
      </c>
      <c r="S14" s="19"/>
      <c r="T14" s="19"/>
      <c r="U14" s="19"/>
      <c r="V14" s="19"/>
      <c r="W14" s="19"/>
      <c r="X14" s="19"/>
      <c r="Y14" s="19"/>
      <c r="Z14" s="19"/>
      <c r="AA14" s="19"/>
      <c r="AB14" s="19"/>
      <c r="AC14" s="19"/>
      <c r="AD14" s="19"/>
      <c r="AE14" s="21">
        <f t="shared" si="264"/>
        <v>0</v>
      </c>
      <c r="AG14" s="19"/>
      <c r="AH14" s="19"/>
      <c r="AI14" s="19"/>
      <c r="AJ14" s="19"/>
      <c r="AK14" s="19"/>
      <c r="AL14" s="19"/>
      <c r="AM14" s="19"/>
      <c r="AN14" s="19"/>
      <c r="AO14" s="19"/>
      <c r="AP14" s="19"/>
      <c r="AQ14" s="19"/>
      <c r="AR14" s="19"/>
      <c r="AS14" s="21">
        <f t="shared" si="254"/>
        <v>0</v>
      </c>
      <c r="AU14" s="19"/>
      <c r="AV14" s="19"/>
      <c r="AW14" s="19"/>
      <c r="AX14" s="19"/>
      <c r="AY14" s="19"/>
      <c r="AZ14" s="19"/>
      <c r="BA14" s="19"/>
      <c r="BB14" s="19"/>
      <c r="BC14" s="19"/>
      <c r="BD14" s="19"/>
      <c r="BE14" s="19"/>
      <c r="BF14" s="19"/>
      <c r="BG14" s="21">
        <f t="shared" si="255"/>
        <v>0</v>
      </c>
      <c r="BI14" s="19"/>
      <c r="BJ14" s="19"/>
      <c r="BK14" s="19"/>
      <c r="BL14" s="19"/>
      <c r="BM14" s="19"/>
      <c r="BN14" s="19"/>
      <c r="BO14" s="19"/>
      <c r="BP14" s="19"/>
      <c r="BQ14" s="19"/>
      <c r="BR14" s="19"/>
      <c r="BS14" s="19"/>
      <c r="BT14" s="19"/>
      <c r="BU14" s="21">
        <f t="shared" si="256"/>
        <v>0</v>
      </c>
      <c r="BW14" s="19"/>
      <c r="BX14" s="19"/>
      <c r="BY14" s="19"/>
      <c r="BZ14" s="19"/>
      <c r="CA14" s="19"/>
      <c r="CB14" s="19"/>
      <c r="CC14" s="19"/>
      <c r="CD14" s="19"/>
      <c r="CE14" s="19"/>
      <c r="CF14" s="19"/>
      <c r="CG14" s="19"/>
      <c r="CH14" s="19"/>
      <c r="CI14" s="21">
        <f t="shared" si="257"/>
        <v>0</v>
      </c>
      <c r="CK14" s="19"/>
      <c r="CL14" s="19"/>
      <c r="CM14" s="19"/>
      <c r="CN14" s="19"/>
      <c r="CO14" s="19"/>
      <c r="CP14" s="19"/>
      <c r="CQ14" s="19"/>
      <c r="CR14" s="19"/>
      <c r="CS14" s="19"/>
      <c r="CT14" s="19"/>
      <c r="CU14" s="19"/>
      <c r="CV14" s="19"/>
      <c r="CW14" s="21">
        <f t="shared" si="258"/>
        <v>0</v>
      </c>
      <c r="CY14" s="19"/>
      <c r="CZ14" s="19"/>
      <c r="DA14" s="19"/>
      <c r="DB14" s="19"/>
      <c r="DC14" s="19"/>
      <c r="DD14" s="19"/>
      <c r="DE14" s="19"/>
      <c r="DF14" s="19"/>
      <c r="DG14" s="19"/>
      <c r="DH14" s="19"/>
      <c r="DI14" s="19"/>
      <c r="DJ14" s="19"/>
      <c r="DK14" s="21">
        <f t="shared" si="259"/>
        <v>0</v>
      </c>
      <c r="DM14" s="19"/>
      <c r="DN14" s="19"/>
      <c r="DO14" s="19"/>
      <c r="DP14" s="19"/>
      <c r="DQ14" s="19"/>
      <c r="DR14" s="19"/>
      <c r="DS14" s="19"/>
      <c r="DT14" s="19"/>
      <c r="DU14" s="19"/>
      <c r="DV14" s="19"/>
      <c r="DW14" s="19"/>
      <c r="DX14" s="19"/>
      <c r="DY14" s="21">
        <f t="shared" si="260"/>
        <v>0</v>
      </c>
      <c r="EA14" s="19"/>
      <c r="EB14" s="19"/>
      <c r="EC14" s="19"/>
      <c r="ED14" s="19"/>
      <c r="EE14" s="19"/>
      <c r="EF14" s="19"/>
      <c r="EG14" s="19"/>
      <c r="EH14" s="19"/>
      <c r="EI14" s="19"/>
      <c r="EJ14" s="19"/>
      <c r="EK14" s="19"/>
      <c r="EL14" s="19"/>
      <c r="EM14" s="21">
        <f t="shared" si="261"/>
        <v>0</v>
      </c>
      <c r="EO14" s="19"/>
      <c r="EP14" s="19"/>
      <c r="EQ14" s="19"/>
      <c r="ER14" s="19"/>
      <c r="ES14" s="19"/>
      <c r="ET14" s="19"/>
      <c r="EU14" s="19"/>
      <c r="EV14" s="19"/>
      <c r="EW14" s="19"/>
      <c r="EX14" s="19"/>
      <c r="EY14" s="19"/>
      <c r="EZ14" s="19"/>
      <c r="FA14" s="21">
        <f t="shared" si="262"/>
        <v>0</v>
      </c>
    </row>
    <row r="15" spans="1:157" hidden="1" x14ac:dyDescent="0.3">
      <c r="C15" s="18" t="s">
        <v>23</v>
      </c>
      <c r="E15" s="19">
        <v>1000</v>
      </c>
      <c r="F15" s="19"/>
      <c r="G15" s="19"/>
      <c r="H15" s="19"/>
      <c r="I15" s="19"/>
      <c r="J15" s="19"/>
      <c r="K15" s="19"/>
      <c r="L15" s="19"/>
      <c r="M15" s="19"/>
      <c r="N15" s="19"/>
      <c r="O15" s="19"/>
      <c r="P15" s="19"/>
      <c r="Q15" s="21">
        <f t="shared" si="263"/>
        <v>1000</v>
      </c>
      <c r="S15" s="19"/>
      <c r="T15" s="19"/>
      <c r="U15" s="19"/>
      <c r="V15" s="19"/>
      <c r="W15" s="19"/>
      <c r="X15" s="19"/>
      <c r="Y15" s="19"/>
      <c r="Z15" s="19"/>
      <c r="AA15" s="19"/>
      <c r="AB15" s="19"/>
      <c r="AC15" s="19"/>
      <c r="AD15" s="19"/>
      <c r="AE15" s="21">
        <f t="shared" si="264"/>
        <v>0</v>
      </c>
      <c r="AG15" s="19"/>
      <c r="AH15" s="19"/>
      <c r="AI15" s="19"/>
      <c r="AJ15" s="19"/>
      <c r="AK15" s="19"/>
      <c r="AL15" s="19"/>
      <c r="AM15" s="19"/>
      <c r="AN15" s="19"/>
      <c r="AO15" s="19"/>
      <c r="AP15" s="19"/>
      <c r="AQ15" s="19"/>
      <c r="AR15" s="19"/>
      <c r="AS15" s="21">
        <f t="shared" si="254"/>
        <v>0</v>
      </c>
      <c r="AU15" s="19"/>
      <c r="AV15" s="19"/>
      <c r="AW15" s="19"/>
      <c r="AX15" s="19"/>
      <c r="AY15" s="19"/>
      <c r="AZ15" s="19"/>
      <c r="BA15" s="19"/>
      <c r="BB15" s="19"/>
      <c r="BC15" s="19"/>
      <c r="BD15" s="19"/>
      <c r="BE15" s="19"/>
      <c r="BF15" s="19"/>
      <c r="BG15" s="21">
        <f t="shared" si="255"/>
        <v>0</v>
      </c>
      <c r="BI15" s="19"/>
      <c r="BJ15" s="19"/>
      <c r="BK15" s="19"/>
      <c r="BL15" s="19"/>
      <c r="BM15" s="19"/>
      <c r="BN15" s="19"/>
      <c r="BO15" s="19"/>
      <c r="BP15" s="19"/>
      <c r="BQ15" s="19"/>
      <c r="BR15" s="19"/>
      <c r="BS15" s="19"/>
      <c r="BT15" s="19"/>
      <c r="BU15" s="21">
        <f t="shared" si="256"/>
        <v>0</v>
      </c>
      <c r="BW15" s="19"/>
      <c r="BX15" s="19"/>
      <c r="BY15" s="19"/>
      <c r="BZ15" s="19"/>
      <c r="CA15" s="19"/>
      <c r="CB15" s="19"/>
      <c r="CC15" s="19"/>
      <c r="CD15" s="19"/>
      <c r="CE15" s="19"/>
      <c r="CF15" s="19"/>
      <c r="CG15" s="19"/>
      <c r="CH15" s="19"/>
      <c r="CI15" s="21">
        <f t="shared" si="257"/>
        <v>0</v>
      </c>
      <c r="CK15" s="19"/>
      <c r="CL15" s="19"/>
      <c r="CM15" s="19"/>
      <c r="CN15" s="19"/>
      <c r="CO15" s="19"/>
      <c r="CP15" s="19"/>
      <c r="CQ15" s="19"/>
      <c r="CR15" s="19"/>
      <c r="CS15" s="19"/>
      <c r="CT15" s="19"/>
      <c r="CU15" s="19"/>
      <c r="CV15" s="19"/>
      <c r="CW15" s="21">
        <f t="shared" si="258"/>
        <v>0</v>
      </c>
      <c r="CY15" s="19"/>
      <c r="CZ15" s="19"/>
      <c r="DA15" s="19"/>
      <c r="DB15" s="19"/>
      <c r="DC15" s="19"/>
      <c r="DD15" s="19"/>
      <c r="DE15" s="19"/>
      <c r="DF15" s="19"/>
      <c r="DG15" s="19"/>
      <c r="DH15" s="19"/>
      <c r="DI15" s="19"/>
      <c r="DJ15" s="19"/>
      <c r="DK15" s="21">
        <f t="shared" si="259"/>
        <v>0</v>
      </c>
      <c r="DM15" s="19"/>
      <c r="DN15" s="19"/>
      <c r="DO15" s="19"/>
      <c r="DP15" s="19"/>
      <c r="DQ15" s="19"/>
      <c r="DR15" s="19"/>
      <c r="DS15" s="19"/>
      <c r="DT15" s="19"/>
      <c r="DU15" s="19"/>
      <c r="DV15" s="19"/>
      <c r="DW15" s="19"/>
      <c r="DX15" s="19"/>
      <c r="DY15" s="21">
        <f t="shared" si="260"/>
        <v>0</v>
      </c>
      <c r="EA15" s="19"/>
      <c r="EB15" s="19"/>
      <c r="EC15" s="19"/>
      <c r="ED15" s="19"/>
      <c r="EE15" s="19"/>
      <c r="EF15" s="19"/>
      <c r="EG15" s="19"/>
      <c r="EH15" s="19"/>
      <c r="EI15" s="19"/>
      <c r="EJ15" s="19"/>
      <c r="EK15" s="19"/>
      <c r="EL15" s="19"/>
      <c r="EM15" s="21">
        <f t="shared" si="261"/>
        <v>0</v>
      </c>
      <c r="EO15" s="19"/>
      <c r="EP15" s="19"/>
      <c r="EQ15" s="19"/>
      <c r="ER15" s="19"/>
      <c r="ES15" s="19"/>
      <c r="ET15" s="19"/>
      <c r="EU15" s="19"/>
      <c r="EV15" s="19"/>
      <c r="EW15" s="19"/>
      <c r="EX15" s="19"/>
      <c r="EY15" s="19"/>
      <c r="EZ15" s="19"/>
      <c r="FA15" s="21">
        <f t="shared" si="262"/>
        <v>0</v>
      </c>
    </row>
    <row r="16" spans="1:157" hidden="1" x14ac:dyDescent="0.3">
      <c r="C16" s="18" t="s">
        <v>23</v>
      </c>
      <c r="E16" s="19">
        <v>1000</v>
      </c>
      <c r="F16" s="19"/>
      <c r="G16" s="19"/>
      <c r="H16" s="19"/>
      <c r="I16" s="19"/>
      <c r="J16" s="19"/>
      <c r="K16" s="19"/>
      <c r="L16" s="19"/>
      <c r="M16" s="19"/>
      <c r="N16" s="19"/>
      <c r="O16" s="19"/>
      <c r="P16" s="19"/>
      <c r="Q16" s="21">
        <f t="shared" si="263"/>
        <v>1000</v>
      </c>
      <c r="S16" s="19"/>
      <c r="T16" s="19"/>
      <c r="U16" s="19"/>
      <c r="V16" s="19"/>
      <c r="W16" s="19"/>
      <c r="X16" s="19"/>
      <c r="Y16" s="19"/>
      <c r="Z16" s="19"/>
      <c r="AA16" s="19"/>
      <c r="AB16" s="19"/>
      <c r="AC16" s="19"/>
      <c r="AD16" s="19"/>
      <c r="AE16" s="21">
        <f t="shared" si="264"/>
        <v>0</v>
      </c>
      <c r="AG16" s="19"/>
      <c r="AH16" s="19"/>
      <c r="AI16" s="19"/>
      <c r="AJ16" s="19"/>
      <c r="AK16" s="19"/>
      <c r="AL16" s="19"/>
      <c r="AM16" s="19"/>
      <c r="AN16" s="19"/>
      <c r="AO16" s="19"/>
      <c r="AP16" s="19"/>
      <c r="AQ16" s="19"/>
      <c r="AR16" s="19"/>
      <c r="AS16" s="21">
        <f t="shared" si="254"/>
        <v>0</v>
      </c>
      <c r="AU16" s="19"/>
      <c r="AV16" s="19"/>
      <c r="AW16" s="19"/>
      <c r="AX16" s="19"/>
      <c r="AY16" s="19"/>
      <c r="AZ16" s="19"/>
      <c r="BA16" s="19"/>
      <c r="BB16" s="19"/>
      <c r="BC16" s="19"/>
      <c r="BD16" s="19"/>
      <c r="BE16" s="19"/>
      <c r="BF16" s="19"/>
      <c r="BG16" s="21">
        <f t="shared" si="255"/>
        <v>0</v>
      </c>
      <c r="BI16" s="19"/>
      <c r="BJ16" s="19"/>
      <c r="BK16" s="19"/>
      <c r="BL16" s="19"/>
      <c r="BM16" s="19"/>
      <c r="BN16" s="19"/>
      <c r="BO16" s="19"/>
      <c r="BP16" s="19"/>
      <c r="BQ16" s="19"/>
      <c r="BR16" s="19"/>
      <c r="BS16" s="19"/>
      <c r="BT16" s="19"/>
      <c r="BU16" s="21">
        <f t="shared" si="256"/>
        <v>0</v>
      </c>
      <c r="BW16" s="19"/>
      <c r="BX16" s="19"/>
      <c r="BY16" s="19"/>
      <c r="BZ16" s="19"/>
      <c r="CA16" s="19"/>
      <c r="CB16" s="19"/>
      <c r="CC16" s="19"/>
      <c r="CD16" s="19"/>
      <c r="CE16" s="19"/>
      <c r="CF16" s="19"/>
      <c r="CG16" s="19"/>
      <c r="CH16" s="19"/>
      <c r="CI16" s="21">
        <f t="shared" si="257"/>
        <v>0</v>
      </c>
      <c r="CK16" s="19"/>
      <c r="CL16" s="19"/>
      <c r="CM16" s="19"/>
      <c r="CN16" s="19"/>
      <c r="CO16" s="19"/>
      <c r="CP16" s="19"/>
      <c r="CQ16" s="19"/>
      <c r="CR16" s="19"/>
      <c r="CS16" s="19"/>
      <c r="CT16" s="19"/>
      <c r="CU16" s="19"/>
      <c r="CV16" s="19"/>
      <c r="CW16" s="21">
        <f t="shared" si="258"/>
        <v>0</v>
      </c>
      <c r="CY16" s="19"/>
      <c r="CZ16" s="19"/>
      <c r="DA16" s="19"/>
      <c r="DB16" s="19"/>
      <c r="DC16" s="19"/>
      <c r="DD16" s="19"/>
      <c r="DE16" s="19"/>
      <c r="DF16" s="19"/>
      <c r="DG16" s="19"/>
      <c r="DH16" s="19"/>
      <c r="DI16" s="19"/>
      <c r="DJ16" s="19"/>
      <c r="DK16" s="21">
        <f t="shared" si="259"/>
        <v>0</v>
      </c>
      <c r="DM16" s="19"/>
      <c r="DN16" s="19"/>
      <c r="DO16" s="19"/>
      <c r="DP16" s="19"/>
      <c r="DQ16" s="19"/>
      <c r="DR16" s="19"/>
      <c r="DS16" s="19"/>
      <c r="DT16" s="19"/>
      <c r="DU16" s="19"/>
      <c r="DV16" s="19"/>
      <c r="DW16" s="19"/>
      <c r="DX16" s="19"/>
      <c r="DY16" s="21">
        <f t="shared" si="260"/>
        <v>0</v>
      </c>
      <c r="EA16" s="19"/>
      <c r="EB16" s="19"/>
      <c r="EC16" s="19"/>
      <c r="ED16" s="19"/>
      <c r="EE16" s="19"/>
      <c r="EF16" s="19"/>
      <c r="EG16" s="19"/>
      <c r="EH16" s="19"/>
      <c r="EI16" s="19"/>
      <c r="EJ16" s="19"/>
      <c r="EK16" s="19"/>
      <c r="EL16" s="19"/>
      <c r="EM16" s="21">
        <f t="shared" si="261"/>
        <v>0</v>
      </c>
      <c r="EO16" s="19"/>
      <c r="EP16" s="19"/>
      <c r="EQ16" s="19"/>
      <c r="ER16" s="19"/>
      <c r="ES16" s="19"/>
      <c r="ET16" s="19"/>
      <c r="EU16" s="19"/>
      <c r="EV16" s="19"/>
      <c r="EW16" s="19"/>
      <c r="EX16" s="19"/>
      <c r="EY16" s="19"/>
      <c r="EZ16" s="19"/>
      <c r="FA16" s="21">
        <f t="shared" si="262"/>
        <v>0</v>
      </c>
    </row>
    <row r="17" spans="2:157" hidden="1" x14ac:dyDescent="0.3">
      <c r="C17" s="18" t="s">
        <v>23</v>
      </c>
      <c r="E17" s="19">
        <v>1000</v>
      </c>
      <c r="F17" s="19"/>
      <c r="G17" s="19"/>
      <c r="H17" s="19"/>
      <c r="I17" s="19"/>
      <c r="J17" s="19"/>
      <c r="K17" s="19"/>
      <c r="L17" s="19"/>
      <c r="M17" s="19"/>
      <c r="N17" s="19"/>
      <c r="O17" s="19"/>
      <c r="P17" s="19"/>
      <c r="Q17" s="21">
        <f t="shared" si="263"/>
        <v>1000</v>
      </c>
      <c r="S17" s="19"/>
      <c r="T17" s="19"/>
      <c r="U17" s="19"/>
      <c r="V17" s="19"/>
      <c r="W17" s="19"/>
      <c r="X17" s="19"/>
      <c r="Y17" s="19"/>
      <c r="Z17" s="19"/>
      <c r="AA17" s="19"/>
      <c r="AB17" s="19"/>
      <c r="AC17" s="19"/>
      <c r="AD17" s="19"/>
      <c r="AE17" s="21">
        <f t="shared" si="264"/>
        <v>0</v>
      </c>
      <c r="AG17" s="19"/>
      <c r="AH17" s="19"/>
      <c r="AI17" s="19"/>
      <c r="AJ17" s="19"/>
      <c r="AK17" s="19"/>
      <c r="AL17" s="19"/>
      <c r="AM17" s="19"/>
      <c r="AN17" s="19"/>
      <c r="AO17" s="19"/>
      <c r="AP17" s="19"/>
      <c r="AQ17" s="19"/>
      <c r="AR17" s="19"/>
      <c r="AS17" s="21">
        <f t="shared" si="254"/>
        <v>0</v>
      </c>
      <c r="AU17" s="19"/>
      <c r="AV17" s="19"/>
      <c r="AW17" s="19"/>
      <c r="AX17" s="19"/>
      <c r="AY17" s="19"/>
      <c r="AZ17" s="19"/>
      <c r="BA17" s="19"/>
      <c r="BB17" s="19"/>
      <c r="BC17" s="19"/>
      <c r="BD17" s="19"/>
      <c r="BE17" s="19"/>
      <c r="BF17" s="19"/>
      <c r="BG17" s="21">
        <f t="shared" si="255"/>
        <v>0</v>
      </c>
      <c r="BI17" s="19"/>
      <c r="BJ17" s="19"/>
      <c r="BK17" s="19"/>
      <c r="BL17" s="19"/>
      <c r="BM17" s="19"/>
      <c r="BN17" s="19"/>
      <c r="BO17" s="19"/>
      <c r="BP17" s="19"/>
      <c r="BQ17" s="19"/>
      <c r="BR17" s="19"/>
      <c r="BS17" s="19"/>
      <c r="BT17" s="19"/>
      <c r="BU17" s="21">
        <f t="shared" si="256"/>
        <v>0</v>
      </c>
      <c r="BW17" s="19"/>
      <c r="BX17" s="19"/>
      <c r="BY17" s="19"/>
      <c r="BZ17" s="19"/>
      <c r="CA17" s="19"/>
      <c r="CB17" s="19"/>
      <c r="CC17" s="19"/>
      <c r="CD17" s="19"/>
      <c r="CE17" s="19"/>
      <c r="CF17" s="19"/>
      <c r="CG17" s="19"/>
      <c r="CH17" s="19"/>
      <c r="CI17" s="21">
        <f t="shared" si="257"/>
        <v>0</v>
      </c>
      <c r="CK17" s="19"/>
      <c r="CL17" s="19"/>
      <c r="CM17" s="19"/>
      <c r="CN17" s="19"/>
      <c r="CO17" s="19"/>
      <c r="CP17" s="19"/>
      <c r="CQ17" s="19"/>
      <c r="CR17" s="19"/>
      <c r="CS17" s="19"/>
      <c r="CT17" s="19"/>
      <c r="CU17" s="19"/>
      <c r="CV17" s="19"/>
      <c r="CW17" s="21">
        <f t="shared" si="258"/>
        <v>0</v>
      </c>
      <c r="CY17" s="19"/>
      <c r="CZ17" s="19"/>
      <c r="DA17" s="19"/>
      <c r="DB17" s="19"/>
      <c r="DC17" s="19"/>
      <c r="DD17" s="19"/>
      <c r="DE17" s="19"/>
      <c r="DF17" s="19"/>
      <c r="DG17" s="19"/>
      <c r="DH17" s="19"/>
      <c r="DI17" s="19"/>
      <c r="DJ17" s="19"/>
      <c r="DK17" s="21">
        <f t="shared" si="259"/>
        <v>0</v>
      </c>
      <c r="DM17" s="19"/>
      <c r="DN17" s="19"/>
      <c r="DO17" s="19"/>
      <c r="DP17" s="19"/>
      <c r="DQ17" s="19"/>
      <c r="DR17" s="19"/>
      <c r="DS17" s="19"/>
      <c r="DT17" s="19"/>
      <c r="DU17" s="19"/>
      <c r="DV17" s="19"/>
      <c r="DW17" s="19"/>
      <c r="DX17" s="19"/>
      <c r="DY17" s="21">
        <f t="shared" si="260"/>
        <v>0</v>
      </c>
      <c r="EA17" s="19"/>
      <c r="EB17" s="19"/>
      <c r="EC17" s="19"/>
      <c r="ED17" s="19"/>
      <c r="EE17" s="19"/>
      <c r="EF17" s="19"/>
      <c r="EG17" s="19"/>
      <c r="EH17" s="19"/>
      <c r="EI17" s="19"/>
      <c r="EJ17" s="19"/>
      <c r="EK17" s="19"/>
      <c r="EL17" s="19"/>
      <c r="EM17" s="21">
        <f t="shared" si="261"/>
        <v>0</v>
      </c>
      <c r="EO17" s="19"/>
      <c r="EP17" s="19"/>
      <c r="EQ17" s="19"/>
      <c r="ER17" s="19"/>
      <c r="ES17" s="19"/>
      <c r="ET17" s="19"/>
      <c r="EU17" s="19"/>
      <c r="EV17" s="19"/>
      <c r="EW17" s="19"/>
      <c r="EX17" s="19"/>
      <c r="EY17" s="19"/>
      <c r="EZ17" s="19"/>
      <c r="FA17" s="21">
        <f t="shared" si="262"/>
        <v>0</v>
      </c>
    </row>
    <row r="18" spans="2:157" hidden="1" x14ac:dyDescent="0.3">
      <c r="C18" s="18" t="s">
        <v>23</v>
      </c>
      <c r="E18" s="19">
        <v>1000</v>
      </c>
      <c r="F18" s="19"/>
      <c r="G18" s="19"/>
      <c r="H18" s="19"/>
      <c r="I18" s="19"/>
      <c r="J18" s="19"/>
      <c r="K18" s="19"/>
      <c r="L18" s="19"/>
      <c r="M18" s="19"/>
      <c r="N18" s="19"/>
      <c r="O18" s="19"/>
      <c r="P18" s="19"/>
      <c r="Q18" s="21">
        <f t="shared" si="263"/>
        <v>1000</v>
      </c>
      <c r="S18" s="19"/>
      <c r="T18" s="19"/>
      <c r="U18" s="19"/>
      <c r="V18" s="19"/>
      <c r="W18" s="19"/>
      <c r="X18" s="19"/>
      <c r="Y18" s="19"/>
      <c r="Z18" s="19"/>
      <c r="AA18" s="19"/>
      <c r="AB18" s="19"/>
      <c r="AC18" s="19"/>
      <c r="AD18" s="19"/>
      <c r="AE18" s="21">
        <f t="shared" si="264"/>
        <v>0</v>
      </c>
      <c r="AG18" s="19"/>
      <c r="AH18" s="19"/>
      <c r="AI18" s="19"/>
      <c r="AJ18" s="19"/>
      <c r="AK18" s="19"/>
      <c r="AL18" s="19"/>
      <c r="AM18" s="19"/>
      <c r="AN18" s="19"/>
      <c r="AO18" s="19"/>
      <c r="AP18" s="19"/>
      <c r="AQ18" s="19"/>
      <c r="AR18" s="19"/>
      <c r="AS18" s="21">
        <f t="shared" si="254"/>
        <v>0</v>
      </c>
      <c r="AU18" s="19"/>
      <c r="AV18" s="19"/>
      <c r="AW18" s="19"/>
      <c r="AX18" s="19"/>
      <c r="AY18" s="19"/>
      <c r="AZ18" s="19"/>
      <c r="BA18" s="19"/>
      <c r="BB18" s="19"/>
      <c r="BC18" s="19"/>
      <c r="BD18" s="19"/>
      <c r="BE18" s="19"/>
      <c r="BF18" s="19"/>
      <c r="BG18" s="21">
        <f t="shared" si="255"/>
        <v>0</v>
      </c>
      <c r="BI18" s="19"/>
      <c r="BJ18" s="19"/>
      <c r="BK18" s="19"/>
      <c r="BL18" s="19"/>
      <c r="BM18" s="19"/>
      <c r="BN18" s="19"/>
      <c r="BO18" s="19"/>
      <c r="BP18" s="19"/>
      <c r="BQ18" s="19"/>
      <c r="BR18" s="19"/>
      <c r="BS18" s="19"/>
      <c r="BT18" s="19"/>
      <c r="BU18" s="21">
        <f t="shared" si="256"/>
        <v>0</v>
      </c>
      <c r="BW18" s="19"/>
      <c r="BX18" s="19"/>
      <c r="BY18" s="19"/>
      <c r="BZ18" s="19"/>
      <c r="CA18" s="19"/>
      <c r="CB18" s="19"/>
      <c r="CC18" s="19"/>
      <c r="CD18" s="19"/>
      <c r="CE18" s="19"/>
      <c r="CF18" s="19"/>
      <c r="CG18" s="19"/>
      <c r="CH18" s="19"/>
      <c r="CI18" s="21">
        <f t="shared" si="257"/>
        <v>0</v>
      </c>
      <c r="CK18" s="19"/>
      <c r="CL18" s="19"/>
      <c r="CM18" s="19"/>
      <c r="CN18" s="19"/>
      <c r="CO18" s="19"/>
      <c r="CP18" s="19"/>
      <c r="CQ18" s="19"/>
      <c r="CR18" s="19"/>
      <c r="CS18" s="19"/>
      <c r="CT18" s="19"/>
      <c r="CU18" s="19"/>
      <c r="CV18" s="19"/>
      <c r="CW18" s="21">
        <f t="shared" si="258"/>
        <v>0</v>
      </c>
      <c r="CY18" s="19"/>
      <c r="CZ18" s="19"/>
      <c r="DA18" s="19"/>
      <c r="DB18" s="19"/>
      <c r="DC18" s="19"/>
      <c r="DD18" s="19"/>
      <c r="DE18" s="19"/>
      <c r="DF18" s="19"/>
      <c r="DG18" s="19"/>
      <c r="DH18" s="19"/>
      <c r="DI18" s="19"/>
      <c r="DJ18" s="19"/>
      <c r="DK18" s="21">
        <f t="shared" si="259"/>
        <v>0</v>
      </c>
      <c r="DM18" s="19"/>
      <c r="DN18" s="19"/>
      <c r="DO18" s="19"/>
      <c r="DP18" s="19"/>
      <c r="DQ18" s="19"/>
      <c r="DR18" s="19"/>
      <c r="DS18" s="19"/>
      <c r="DT18" s="19"/>
      <c r="DU18" s="19"/>
      <c r="DV18" s="19"/>
      <c r="DW18" s="19"/>
      <c r="DX18" s="19"/>
      <c r="DY18" s="21">
        <f t="shared" si="260"/>
        <v>0</v>
      </c>
      <c r="EA18" s="19"/>
      <c r="EB18" s="19"/>
      <c r="EC18" s="19"/>
      <c r="ED18" s="19"/>
      <c r="EE18" s="19"/>
      <c r="EF18" s="19"/>
      <c r="EG18" s="19"/>
      <c r="EH18" s="19"/>
      <c r="EI18" s="19"/>
      <c r="EJ18" s="19"/>
      <c r="EK18" s="19"/>
      <c r="EL18" s="19"/>
      <c r="EM18" s="21">
        <f t="shared" si="261"/>
        <v>0</v>
      </c>
      <c r="EO18" s="19"/>
      <c r="EP18" s="19"/>
      <c r="EQ18" s="19"/>
      <c r="ER18" s="19"/>
      <c r="ES18" s="19"/>
      <c r="ET18" s="19"/>
      <c r="EU18" s="19"/>
      <c r="EV18" s="19"/>
      <c r="EW18" s="19"/>
      <c r="EX18" s="19"/>
      <c r="EY18" s="19"/>
      <c r="EZ18" s="19"/>
      <c r="FA18" s="21">
        <f t="shared" si="262"/>
        <v>0</v>
      </c>
    </row>
    <row r="19" spans="2:157" hidden="1" x14ac:dyDescent="0.3">
      <c r="C19" s="18" t="s">
        <v>23</v>
      </c>
      <c r="E19" s="19">
        <v>1000</v>
      </c>
      <c r="F19" s="19"/>
      <c r="G19" s="19"/>
      <c r="H19" s="19"/>
      <c r="I19" s="19"/>
      <c r="J19" s="19"/>
      <c r="K19" s="19"/>
      <c r="L19" s="19"/>
      <c r="M19" s="19"/>
      <c r="N19" s="19"/>
      <c r="O19" s="19"/>
      <c r="P19" s="19"/>
      <c r="Q19" s="21">
        <f t="shared" si="263"/>
        <v>1000</v>
      </c>
      <c r="S19" s="19"/>
      <c r="T19" s="19"/>
      <c r="U19" s="19"/>
      <c r="V19" s="19"/>
      <c r="W19" s="19"/>
      <c r="X19" s="19"/>
      <c r="Y19" s="19"/>
      <c r="Z19" s="19"/>
      <c r="AA19" s="19"/>
      <c r="AB19" s="19"/>
      <c r="AC19" s="19"/>
      <c r="AD19" s="19"/>
      <c r="AE19" s="21">
        <f t="shared" si="264"/>
        <v>0</v>
      </c>
      <c r="AG19" s="19"/>
      <c r="AH19" s="19"/>
      <c r="AI19" s="19"/>
      <c r="AJ19" s="19"/>
      <c r="AK19" s="19"/>
      <c r="AL19" s="19"/>
      <c r="AM19" s="19"/>
      <c r="AN19" s="19"/>
      <c r="AO19" s="19"/>
      <c r="AP19" s="19"/>
      <c r="AQ19" s="19"/>
      <c r="AR19" s="19"/>
      <c r="AS19" s="21">
        <f t="shared" si="254"/>
        <v>0</v>
      </c>
      <c r="AU19" s="19"/>
      <c r="AV19" s="19"/>
      <c r="AW19" s="19"/>
      <c r="AX19" s="19"/>
      <c r="AY19" s="19"/>
      <c r="AZ19" s="19"/>
      <c r="BA19" s="19"/>
      <c r="BB19" s="19"/>
      <c r="BC19" s="19"/>
      <c r="BD19" s="19"/>
      <c r="BE19" s="19"/>
      <c r="BF19" s="19"/>
      <c r="BG19" s="21">
        <f t="shared" si="255"/>
        <v>0</v>
      </c>
      <c r="BI19" s="19"/>
      <c r="BJ19" s="19"/>
      <c r="BK19" s="19"/>
      <c r="BL19" s="19"/>
      <c r="BM19" s="19"/>
      <c r="BN19" s="19"/>
      <c r="BO19" s="19"/>
      <c r="BP19" s="19"/>
      <c r="BQ19" s="19"/>
      <c r="BR19" s="19"/>
      <c r="BS19" s="19"/>
      <c r="BT19" s="19"/>
      <c r="BU19" s="21">
        <f t="shared" si="256"/>
        <v>0</v>
      </c>
      <c r="BW19" s="19"/>
      <c r="BX19" s="19"/>
      <c r="BY19" s="19"/>
      <c r="BZ19" s="19"/>
      <c r="CA19" s="19"/>
      <c r="CB19" s="19"/>
      <c r="CC19" s="19"/>
      <c r="CD19" s="19"/>
      <c r="CE19" s="19"/>
      <c r="CF19" s="19"/>
      <c r="CG19" s="19"/>
      <c r="CH19" s="19"/>
      <c r="CI19" s="21">
        <f t="shared" si="257"/>
        <v>0</v>
      </c>
      <c r="CK19" s="19"/>
      <c r="CL19" s="19"/>
      <c r="CM19" s="19"/>
      <c r="CN19" s="19"/>
      <c r="CO19" s="19"/>
      <c r="CP19" s="19"/>
      <c r="CQ19" s="19"/>
      <c r="CR19" s="19"/>
      <c r="CS19" s="19"/>
      <c r="CT19" s="19"/>
      <c r="CU19" s="19"/>
      <c r="CV19" s="19"/>
      <c r="CW19" s="21">
        <f t="shared" si="258"/>
        <v>0</v>
      </c>
      <c r="CY19" s="19"/>
      <c r="CZ19" s="19"/>
      <c r="DA19" s="19"/>
      <c r="DB19" s="19"/>
      <c r="DC19" s="19"/>
      <c r="DD19" s="19"/>
      <c r="DE19" s="19"/>
      <c r="DF19" s="19"/>
      <c r="DG19" s="19"/>
      <c r="DH19" s="19"/>
      <c r="DI19" s="19"/>
      <c r="DJ19" s="19"/>
      <c r="DK19" s="21">
        <f t="shared" si="259"/>
        <v>0</v>
      </c>
      <c r="DM19" s="19"/>
      <c r="DN19" s="19"/>
      <c r="DO19" s="19"/>
      <c r="DP19" s="19"/>
      <c r="DQ19" s="19"/>
      <c r="DR19" s="19"/>
      <c r="DS19" s="19"/>
      <c r="DT19" s="19"/>
      <c r="DU19" s="19"/>
      <c r="DV19" s="19"/>
      <c r="DW19" s="19"/>
      <c r="DX19" s="19"/>
      <c r="DY19" s="21">
        <f t="shared" si="260"/>
        <v>0</v>
      </c>
      <c r="EA19" s="19"/>
      <c r="EB19" s="19"/>
      <c r="EC19" s="19"/>
      <c r="ED19" s="19"/>
      <c r="EE19" s="19"/>
      <c r="EF19" s="19"/>
      <c r="EG19" s="19"/>
      <c r="EH19" s="19"/>
      <c r="EI19" s="19"/>
      <c r="EJ19" s="19"/>
      <c r="EK19" s="19"/>
      <c r="EL19" s="19"/>
      <c r="EM19" s="21">
        <f t="shared" si="261"/>
        <v>0</v>
      </c>
      <c r="EO19" s="19"/>
      <c r="EP19" s="19"/>
      <c r="EQ19" s="19"/>
      <c r="ER19" s="19"/>
      <c r="ES19" s="19"/>
      <c r="ET19" s="19"/>
      <c r="EU19" s="19"/>
      <c r="EV19" s="19"/>
      <c r="EW19" s="19"/>
      <c r="EX19" s="19"/>
      <c r="EY19" s="19"/>
      <c r="EZ19" s="19"/>
      <c r="FA19" s="21">
        <f t="shared" si="262"/>
        <v>0</v>
      </c>
    </row>
    <row r="20" spans="2:157" x14ac:dyDescent="0.3">
      <c r="C20" s="17" t="s">
        <v>19</v>
      </c>
      <c r="E20" s="20" cm="1">
        <f t="array" aca="1" ref="E20" ca="1">SUM(INDIRECT(ADDRESS(Einkommen_Min_Row,COLUMN()) &amp; ":" &amp; ADDRESS(Einkommen_Max_Row, COLUMN())))</f>
        <v>0</v>
      </c>
      <c r="F20" s="20" cm="1">
        <f t="array" aca="1" ref="F20" ca="1">SUM(INDIRECT(ADDRESS(Einkommen_Min_Row,COLUMN()) &amp; ":" &amp; ADDRESS(Einkommen_Max_Row, COLUMN())))</f>
        <v>0</v>
      </c>
      <c r="G20" s="20" cm="1">
        <f t="array" aca="1" ref="G20" ca="1">SUM(INDIRECT(ADDRESS(Einkommen_Min_Row,COLUMN()) &amp; ":" &amp; ADDRESS(Einkommen_Max_Row, COLUMN())))</f>
        <v>0</v>
      </c>
      <c r="H20" s="20" cm="1">
        <f t="array" aca="1" ref="H20" ca="1">SUM(INDIRECT(ADDRESS(Einkommen_Min_Row,COLUMN()) &amp; ":" &amp; ADDRESS(Einkommen_Max_Row, COLUMN())))</f>
        <v>0</v>
      </c>
      <c r="I20" s="20" cm="1">
        <f t="array" aca="1" ref="I20" ca="1">SUM(INDIRECT(ADDRESS(Einkommen_Min_Row,COLUMN()) &amp; ":" &amp; ADDRESS(Einkommen_Max_Row, COLUMN())))</f>
        <v>0</v>
      </c>
      <c r="J20" s="20" cm="1">
        <f t="array" aca="1" ref="J20" ca="1">SUM(INDIRECT(ADDRESS(Einkommen_Min_Row,COLUMN()) &amp; ":" &amp; ADDRESS(Einkommen_Max_Row, COLUMN())))</f>
        <v>0</v>
      </c>
      <c r="K20" s="20" cm="1">
        <f t="array" aca="1" ref="K20" ca="1">SUM(INDIRECT(ADDRESS(Einkommen_Min_Row,COLUMN()) &amp; ":" &amp; ADDRESS(Einkommen_Max_Row, COLUMN())))</f>
        <v>0</v>
      </c>
      <c r="L20" s="20" cm="1">
        <f t="array" aca="1" ref="L20" ca="1">SUM(INDIRECT(ADDRESS(Einkommen_Min_Row,COLUMN()) &amp; ":" &amp; ADDRESS(Einkommen_Max_Row, COLUMN())))</f>
        <v>0</v>
      </c>
      <c r="M20" s="20" cm="1">
        <f t="array" aca="1" ref="M20" ca="1">SUM(INDIRECT(ADDRESS(Einkommen_Min_Row,COLUMN()) &amp; ":" &amp; ADDRESS(Einkommen_Max_Row, COLUMN())))</f>
        <v>0</v>
      </c>
      <c r="N20" s="20" cm="1">
        <f t="array" aca="1" ref="N20" ca="1">SUM(INDIRECT(ADDRESS(Einkommen_Min_Row,COLUMN()) &amp; ":" &amp; ADDRESS(Einkommen_Max_Row, COLUMN())))</f>
        <v>0</v>
      </c>
      <c r="O20" s="20" cm="1">
        <f t="array" aca="1" ref="O20" ca="1">SUM(INDIRECT(ADDRESS(Einkommen_Min_Row,COLUMN()) &amp; ":" &amp; ADDRESS(Einkommen_Max_Row, COLUMN())))</f>
        <v>0</v>
      </c>
      <c r="P20" s="20" cm="1">
        <f t="array" aca="1" ref="P20" ca="1">SUM(INDIRECT(ADDRESS(Einkommen_Min_Row,COLUMN()) &amp; ":" &amp; ADDRESS(Einkommen_Max_Row, COLUMN())))</f>
        <v>0</v>
      </c>
      <c r="Q20" s="20" cm="1">
        <f t="array" aca="1" ref="Q20" ca="1">SUM(INDIRECT(ADDRESS(Einkommen_Min_Row,COLUMN()) &amp; ":" &amp; ADDRESS(Einkommen_Max_Row, COLUMN())))</f>
        <v>0</v>
      </c>
      <c r="S20" s="20" cm="1">
        <f t="array" aca="1" ref="S20" ca="1">SUM(INDIRECT(ADDRESS(Einkommen_Min_Row,COLUMN()) &amp; ":" &amp; ADDRESS(Einkommen_Max_Row, COLUMN())))</f>
        <v>0</v>
      </c>
      <c r="T20" s="20" cm="1">
        <f t="array" aca="1" ref="T20" ca="1">SUM(INDIRECT(ADDRESS(Einkommen_Min_Row,COLUMN()) &amp; ":" &amp; ADDRESS(Einkommen_Max_Row, COLUMN())))</f>
        <v>0</v>
      </c>
      <c r="U20" s="20" cm="1">
        <f t="array" aca="1" ref="U20" ca="1">SUM(INDIRECT(ADDRESS(Einkommen_Min_Row,COLUMN()) &amp; ":" &amp; ADDRESS(Einkommen_Max_Row, COLUMN())))</f>
        <v>0</v>
      </c>
      <c r="V20" s="20" cm="1">
        <f t="array" aca="1" ref="V20" ca="1">SUM(INDIRECT(ADDRESS(Einkommen_Min_Row,COLUMN()) &amp; ":" &amp; ADDRESS(Einkommen_Max_Row, COLUMN())))</f>
        <v>0</v>
      </c>
      <c r="W20" s="20" cm="1">
        <f t="array" aca="1" ref="W20" ca="1">SUM(INDIRECT(ADDRESS(Einkommen_Min_Row,COLUMN()) &amp; ":" &amp; ADDRESS(Einkommen_Max_Row, COLUMN())))</f>
        <v>0</v>
      </c>
      <c r="X20" s="20" cm="1">
        <f t="array" aca="1" ref="X20" ca="1">SUM(INDIRECT(ADDRESS(Einkommen_Min_Row,COLUMN()) &amp; ":" &amp; ADDRESS(Einkommen_Max_Row, COLUMN())))</f>
        <v>0</v>
      </c>
      <c r="Y20" s="20" cm="1">
        <f t="array" aca="1" ref="Y20" ca="1">SUM(INDIRECT(ADDRESS(Einkommen_Min_Row,COLUMN()) &amp; ":" &amp; ADDRESS(Einkommen_Max_Row, COLUMN())))</f>
        <v>0</v>
      </c>
      <c r="Z20" s="20" cm="1">
        <f t="array" aca="1" ref="Z20" ca="1">SUM(INDIRECT(ADDRESS(Einkommen_Min_Row,COLUMN()) &amp; ":" &amp; ADDRESS(Einkommen_Max_Row, COLUMN())))</f>
        <v>0</v>
      </c>
      <c r="AA20" s="20" cm="1">
        <f t="array" aca="1" ref="AA20" ca="1">SUM(INDIRECT(ADDRESS(Einkommen_Min_Row,COLUMN()) &amp; ":" &amp; ADDRESS(Einkommen_Max_Row, COLUMN())))</f>
        <v>0</v>
      </c>
      <c r="AB20" s="20" cm="1">
        <f t="array" aca="1" ref="AB20" ca="1">SUM(INDIRECT(ADDRESS(Einkommen_Min_Row,COLUMN()) &amp; ":" &amp; ADDRESS(Einkommen_Max_Row, COLUMN())))</f>
        <v>0</v>
      </c>
      <c r="AC20" s="20" cm="1">
        <f t="array" aca="1" ref="AC20" ca="1">SUM(INDIRECT(ADDRESS(Einkommen_Min_Row,COLUMN()) &amp; ":" &amp; ADDRESS(Einkommen_Max_Row, COLUMN())))</f>
        <v>0</v>
      </c>
      <c r="AD20" s="20" cm="1">
        <f t="array" aca="1" ref="AD20" ca="1">SUM(INDIRECT(ADDRESS(Einkommen_Min_Row,COLUMN()) &amp; ":" &amp; ADDRESS(Einkommen_Max_Row, COLUMN())))</f>
        <v>0</v>
      </c>
      <c r="AE20" s="20" cm="1">
        <f t="array" aca="1" ref="AE20" ca="1">SUM(INDIRECT(ADDRESS(Einkommen_Min_Row,COLUMN()) &amp; ":" &amp; ADDRESS(Einkommen_Max_Row, COLUMN())))</f>
        <v>0</v>
      </c>
      <c r="AG20" s="20" cm="1">
        <f t="array" aca="1" ref="AG20" ca="1">SUM(INDIRECT(ADDRESS(Einkommen_Min_Row,COLUMN()) &amp; ":" &amp; ADDRESS(Einkommen_Max_Row, COLUMN())))</f>
        <v>0</v>
      </c>
      <c r="AH20" s="20" cm="1">
        <f t="array" aca="1" ref="AH20" ca="1">SUM(INDIRECT(ADDRESS(Einkommen_Min_Row,COLUMN()) &amp; ":" &amp; ADDRESS(Einkommen_Max_Row, COLUMN())))</f>
        <v>0</v>
      </c>
      <c r="AI20" s="20" cm="1">
        <f t="array" aca="1" ref="AI20" ca="1">SUM(INDIRECT(ADDRESS(Einkommen_Min_Row,COLUMN()) &amp; ":" &amp; ADDRESS(Einkommen_Max_Row, COLUMN())))</f>
        <v>0</v>
      </c>
      <c r="AJ20" s="20" cm="1">
        <f t="array" aca="1" ref="AJ20" ca="1">SUM(INDIRECT(ADDRESS(Einkommen_Min_Row,COLUMN()) &amp; ":" &amp; ADDRESS(Einkommen_Max_Row, COLUMN())))</f>
        <v>0</v>
      </c>
      <c r="AK20" s="20" cm="1">
        <f t="array" aca="1" ref="AK20" ca="1">SUM(INDIRECT(ADDRESS(Einkommen_Min_Row,COLUMN()) &amp; ":" &amp; ADDRESS(Einkommen_Max_Row, COLUMN())))</f>
        <v>0</v>
      </c>
      <c r="AL20" s="20" cm="1">
        <f t="array" aca="1" ref="AL20" ca="1">SUM(INDIRECT(ADDRESS(Einkommen_Min_Row,COLUMN()) &amp; ":" &amp; ADDRESS(Einkommen_Max_Row, COLUMN())))</f>
        <v>0</v>
      </c>
      <c r="AM20" s="20" cm="1">
        <f t="array" aca="1" ref="AM20" ca="1">SUM(INDIRECT(ADDRESS(Einkommen_Min_Row,COLUMN()) &amp; ":" &amp; ADDRESS(Einkommen_Max_Row, COLUMN())))</f>
        <v>0</v>
      </c>
      <c r="AN20" s="20" cm="1">
        <f t="array" aca="1" ref="AN20" ca="1">SUM(INDIRECT(ADDRESS(Einkommen_Min_Row,COLUMN()) &amp; ":" &amp; ADDRESS(Einkommen_Max_Row, COLUMN())))</f>
        <v>0</v>
      </c>
      <c r="AO20" s="20" cm="1">
        <f t="array" aca="1" ref="AO20" ca="1">SUM(INDIRECT(ADDRESS(Einkommen_Min_Row,COLUMN()) &amp; ":" &amp; ADDRESS(Einkommen_Max_Row, COLUMN())))</f>
        <v>0</v>
      </c>
      <c r="AP20" s="20" cm="1">
        <f t="array" aca="1" ref="AP20" ca="1">SUM(INDIRECT(ADDRESS(Einkommen_Min_Row,COLUMN()) &amp; ":" &amp; ADDRESS(Einkommen_Max_Row, COLUMN())))</f>
        <v>0</v>
      </c>
      <c r="AQ20" s="20" cm="1">
        <f t="array" aca="1" ref="AQ20" ca="1">SUM(INDIRECT(ADDRESS(Einkommen_Min_Row,COLUMN()) &amp; ":" &amp; ADDRESS(Einkommen_Max_Row, COLUMN())))</f>
        <v>0</v>
      </c>
      <c r="AR20" s="20" cm="1">
        <f t="array" aca="1" ref="AR20" ca="1">SUM(INDIRECT(ADDRESS(Einkommen_Min_Row,COLUMN()) &amp; ":" &amp; ADDRESS(Einkommen_Max_Row, COLUMN())))</f>
        <v>0</v>
      </c>
      <c r="AS20" s="20" cm="1">
        <f t="array" aca="1" ref="AS20" ca="1">SUM(INDIRECT(ADDRESS(Einkommen_Min_Row,COLUMN()) &amp; ":" &amp; ADDRESS(Einkommen_Max_Row, COLUMN())))</f>
        <v>0</v>
      </c>
      <c r="AU20" s="20" cm="1">
        <f t="array" aca="1" ref="AU20" ca="1">SUM(INDIRECT(ADDRESS(Einkommen_Min_Row,COLUMN()) &amp; ":" &amp; ADDRESS(Einkommen_Max_Row, COLUMN())))</f>
        <v>0</v>
      </c>
      <c r="AV20" s="20" cm="1">
        <f t="array" aca="1" ref="AV20" ca="1">SUM(INDIRECT(ADDRESS(Einkommen_Min_Row,COLUMN()) &amp; ":" &amp; ADDRESS(Einkommen_Max_Row, COLUMN())))</f>
        <v>0</v>
      </c>
      <c r="AW20" s="20" cm="1">
        <f t="array" aca="1" ref="AW20" ca="1">SUM(INDIRECT(ADDRESS(Einkommen_Min_Row,COLUMN()) &amp; ":" &amp; ADDRESS(Einkommen_Max_Row, COLUMN())))</f>
        <v>0</v>
      </c>
      <c r="AX20" s="20" cm="1">
        <f t="array" aca="1" ref="AX20" ca="1">SUM(INDIRECT(ADDRESS(Einkommen_Min_Row,COLUMN()) &amp; ":" &amp; ADDRESS(Einkommen_Max_Row, COLUMN())))</f>
        <v>0</v>
      </c>
      <c r="AY20" s="20" cm="1">
        <f t="array" aca="1" ref="AY20" ca="1">SUM(INDIRECT(ADDRESS(Einkommen_Min_Row,COLUMN()) &amp; ":" &amp; ADDRESS(Einkommen_Max_Row, COLUMN())))</f>
        <v>0</v>
      </c>
      <c r="AZ20" s="20" cm="1">
        <f t="array" aca="1" ref="AZ20" ca="1">SUM(INDIRECT(ADDRESS(Einkommen_Min_Row,COLUMN()) &amp; ":" &amp; ADDRESS(Einkommen_Max_Row, COLUMN())))</f>
        <v>0</v>
      </c>
      <c r="BA20" s="20" cm="1">
        <f t="array" aca="1" ref="BA20" ca="1">SUM(INDIRECT(ADDRESS(Einkommen_Min_Row,COLUMN()) &amp; ":" &amp; ADDRESS(Einkommen_Max_Row, COLUMN())))</f>
        <v>0</v>
      </c>
      <c r="BB20" s="20" cm="1">
        <f t="array" aca="1" ref="BB20" ca="1">SUM(INDIRECT(ADDRESS(Einkommen_Min_Row,COLUMN()) &amp; ":" &amp; ADDRESS(Einkommen_Max_Row, COLUMN())))</f>
        <v>0</v>
      </c>
      <c r="BC20" s="20" cm="1">
        <f t="array" aca="1" ref="BC20" ca="1">SUM(INDIRECT(ADDRESS(Einkommen_Min_Row,COLUMN()) &amp; ":" &amp; ADDRESS(Einkommen_Max_Row, COLUMN())))</f>
        <v>0</v>
      </c>
      <c r="BD20" s="20" cm="1">
        <f t="array" aca="1" ref="BD20" ca="1">SUM(INDIRECT(ADDRESS(Einkommen_Min_Row,COLUMN()) &amp; ":" &amp; ADDRESS(Einkommen_Max_Row, COLUMN())))</f>
        <v>0</v>
      </c>
      <c r="BE20" s="20" cm="1">
        <f t="array" aca="1" ref="BE20" ca="1">SUM(INDIRECT(ADDRESS(Einkommen_Min_Row,COLUMN()) &amp; ":" &amp; ADDRESS(Einkommen_Max_Row, COLUMN())))</f>
        <v>0</v>
      </c>
      <c r="BF20" s="20" cm="1">
        <f t="array" aca="1" ref="BF20" ca="1">SUM(INDIRECT(ADDRESS(Einkommen_Min_Row,COLUMN()) &amp; ":" &amp; ADDRESS(Einkommen_Max_Row, COLUMN())))</f>
        <v>0</v>
      </c>
      <c r="BG20" s="20" cm="1">
        <f t="array" aca="1" ref="BG20" ca="1">SUM(INDIRECT(ADDRESS(Einkommen_Min_Row,COLUMN()) &amp; ":" &amp; ADDRESS(Einkommen_Max_Row, COLUMN())))</f>
        <v>0</v>
      </c>
      <c r="BI20" s="20" cm="1">
        <f t="array" aca="1" ref="BI20" ca="1">SUM(INDIRECT(ADDRESS(Einkommen_Min_Row,COLUMN()) &amp; ":" &amp; ADDRESS(Einkommen_Max_Row, COLUMN())))</f>
        <v>0</v>
      </c>
      <c r="BJ20" s="20" cm="1">
        <f t="array" aca="1" ref="BJ20" ca="1">SUM(INDIRECT(ADDRESS(Einkommen_Min_Row,COLUMN()) &amp; ":" &amp; ADDRESS(Einkommen_Max_Row, COLUMN())))</f>
        <v>0</v>
      </c>
      <c r="BK20" s="20" cm="1">
        <f t="array" aca="1" ref="BK20" ca="1">SUM(INDIRECT(ADDRESS(Einkommen_Min_Row,COLUMN()) &amp; ":" &amp; ADDRESS(Einkommen_Max_Row, COLUMN())))</f>
        <v>0</v>
      </c>
      <c r="BL20" s="20" cm="1">
        <f t="array" aca="1" ref="BL20" ca="1">SUM(INDIRECT(ADDRESS(Einkommen_Min_Row,COLUMN()) &amp; ":" &amp; ADDRESS(Einkommen_Max_Row, COLUMN())))</f>
        <v>0</v>
      </c>
      <c r="BM20" s="20" cm="1">
        <f t="array" aca="1" ref="BM20" ca="1">SUM(INDIRECT(ADDRESS(Einkommen_Min_Row,COLUMN()) &amp; ":" &amp; ADDRESS(Einkommen_Max_Row, COLUMN())))</f>
        <v>0</v>
      </c>
      <c r="BN20" s="20" cm="1">
        <f t="array" aca="1" ref="BN20" ca="1">SUM(INDIRECT(ADDRESS(Einkommen_Min_Row,COLUMN()) &amp; ":" &amp; ADDRESS(Einkommen_Max_Row, COLUMN())))</f>
        <v>0</v>
      </c>
      <c r="BO20" s="20" cm="1">
        <f t="array" aca="1" ref="BO20" ca="1">SUM(INDIRECT(ADDRESS(Einkommen_Min_Row,COLUMN()) &amp; ":" &amp; ADDRESS(Einkommen_Max_Row, COLUMN())))</f>
        <v>0</v>
      </c>
      <c r="BP20" s="20" cm="1">
        <f t="array" aca="1" ref="BP20" ca="1">SUM(INDIRECT(ADDRESS(Einkommen_Min_Row,COLUMN()) &amp; ":" &amp; ADDRESS(Einkommen_Max_Row, COLUMN())))</f>
        <v>0</v>
      </c>
      <c r="BQ20" s="20" cm="1">
        <f t="array" aca="1" ref="BQ20" ca="1">SUM(INDIRECT(ADDRESS(Einkommen_Min_Row,COLUMN()) &amp; ":" &amp; ADDRESS(Einkommen_Max_Row, COLUMN())))</f>
        <v>0</v>
      </c>
      <c r="BR20" s="20" cm="1">
        <f t="array" aca="1" ref="BR20" ca="1">SUM(INDIRECT(ADDRESS(Einkommen_Min_Row,COLUMN()) &amp; ":" &amp; ADDRESS(Einkommen_Max_Row, COLUMN())))</f>
        <v>0</v>
      </c>
      <c r="BS20" s="20" cm="1">
        <f t="array" aca="1" ref="BS20" ca="1">SUM(INDIRECT(ADDRESS(Einkommen_Min_Row,COLUMN()) &amp; ":" &amp; ADDRESS(Einkommen_Max_Row, COLUMN())))</f>
        <v>0</v>
      </c>
      <c r="BT20" s="20" cm="1">
        <f t="array" aca="1" ref="BT20" ca="1">SUM(INDIRECT(ADDRESS(Einkommen_Min_Row,COLUMN()) &amp; ":" &amp; ADDRESS(Einkommen_Max_Row, COLUMN())))</f>
        <v>0</v>
      </c>
      <c r="BU20" s="20" cm="1">
        <f t="array" aca="1" ref="BU20" ca="1">SUM(INDIRECT(ADDRESS(Einkommen_Min_Row,COLUMN()) &amp; ":" &amp; ADDRESS(Einkommen_Max_Row, COLUMN())))</f>
        <v>0</v>
      </c>
      <c r="BW20" s="20" cm="1">
        <f t="array" aca="1" ref="BW20" ca="1">SUM(INDIRECT(ADDRESS(Einkommen_Min_Row,COLUMN()) &amp; ":" &amp; ADDRESS(Einkommen_Max_Row, COLUMN())))</f>
        <v>0</v>
      </c>
      <c r="BX20" s="20" cm="1">
        <f t="array" aca="1" ref="BX20" ca="1">SUM(INDIRECT(ADDRESS(Einkommen_Min_Row,COLUMN()) &amp; ":" &amp; ADDRESS(Einkommen_Max_Row, COLUMN())))</f>
        <v>0</v>
      </c>
      <c r="BY20" s="20" cm="1">
        <f t="array" aca="1" ref="BY20" ca="1">SUM(INDIRECT(ADDRESS(Einkommen_Min_Row,COLUMN()) &amp; ":" &amp; ADDRESS(Einkommen_Max_Row, COLUMN())))</f>
        <v>0</v>
      </c>
      <c r="BZ20" s="20" cm="1">
        <f t="array" aca="1" ref="BZ20" ca="1">SUM(INDIRECT(ADDRESS(Einkommen_Min_Row,COLUMN()) &amp; ":" &amp; ADDRESS(Einkommen_Max_Row, COLUMN())))</f>
        <v>0</v>
      </c>
      <c r="CA20" s="20" cm="1">
        <f t="array" aca="1" ref="CA20" ca="1">SUM(INDIRECT(ADDRESS(Einkommen_Min_Row,COLUMN()) &amp; ":" &amp; ADDRESS(Einkommen_Max_Row, COLUMN())))</f>
        <v>0</v>
      </c>
      <c r="CB20" s="20" cm="1">
        <f t="array" aca="1" ref="CB20" ca="1">SUM(INDIRECT(ADDRESS(Einkommen_Min_Row,COLUMN()) &amp; ":" &amp; ADDRESS(Einkommen_Max_Row, COLUMN())))</f>
        <v>0</v>
      </c>
      <c r="CC20" s="20" cm="1">
        <f t="array" aca="1" ref="CC20" ca="1">SUM(INDIRECT(ADDRESS(Einkommen_Min_Row,COLUMN()) &amp; ":" &amp; ADDRESS(Einkommen_Max_Row, COLUMN())))</f>
        <v>0</v>
      </c>
      <c r="CD20" s="20" cm="1">
        <f t="array" aca="1" ref="CD20" ca="1">SUM(INDIRECT(ADDRESS(Einkommen_Min_Row,COLUMN()) &amp; ":" &amp; ADDRESS(Einkommen_Max_Row, COLUMN())))</f>
        <v>0</v>
      </c>
      <c r="CE20" s="20" cm="1">
        <f t="array" aca="1" ref="CE20" ca="1">SUM(INDIRECT(ADDRESS(Einkommen_Min_Row,COLUMN()) &amp; ":" &amp; ADDRESS(Einkommen_Max_Row, COLUMN())))</f>
        <v>0</v>
      </c>
      <c r="CF20" s="20" cm="1">
        <f t="array" aca="1" ref="CF20" ca="1">SUM(INDIRECT(ADDRESS(Einkommen_Min_Row,COLUMN()) &amp; ":" &amp; ADDRESS(Einkommen_Max_Row, COLUMN())))</f>
        <v>0</v>
      </c>
      <c r="CG20" s="20" cm="1">
        <f t="array" aca="1" ref="CG20" ca="1">SUM(INDIRECT(ADDRESS(Einkommen_Min_Row,COLUMN()) &amp; ":" &amp; ADDRESS(Einkommen_Max_Row, COLUMN())))</f>
        <v>0</v>
      </c>
      <c r="CH20" s="20" cm="1">
        <f t="array" aca="1" ref="CH20" ca="1">SUM(INDIRECT(ADDRESS(Einkommen_Min_Row,COLUMN()) &amp; ":" &amp; ADDRESS(Einkommen_Max_Row, COLUMN())))</f>
        <v>0</v>
      </c>
      <c r="CI20" s="20" cm="1">
        <f t="array" aca="1" ref="CI20" ca="1">SUM(INDIRECT(ADDRESS(Einkommen_Min_Row,COLUMN()) &amp; ":" &amp; ADDRESS(Einkommen_Max_Row, COLUMN())))</f>
        <v>0</v>
      </c>
      <c r="CK20" s="20" cm="1">
        <f t="array" aca="1" ref="CK20" ca="1">SUM(INDIRECT(ADDRESS(Einkommen_Min_Row,COLUMN()) &amp; ":" &amp; ADDRESS(Einkommen_Max_Row, COLUMN())))</f>
        <v>0</v>
      </c>
      <c r="CL20" s="20" cm="1">
        <f t="array" aca="1" ref="CL20" ca="1">SUM(INDIRECT(ADDRESS(Einkommen_Min_Row,COLUMN()) &amp; ":" &amp; ADDRESS(Einkommen_Max_Row, COLUMN())))</f>
        <v>0</v>
      </c>
      <c r="CM20" s="20" cm="1">
        <f t="array" aca="1" ref="CM20" ca="1">SUM(INDIRECT(ADDRESS(Einkommen_Min_Row,COLUMN()) &amp; ":" &amp; ADDRESS(Einkommen_Max_Row, COLUMN())))</f>
        <v>0</v>
      </c>
      <c r="CN20" s="20" cm="1">
        <f t="array" aca="1" ref="CN20" ca="1">SUM(INDIRECT(ADDRESS(Einkommen_Min_Row,COLUMN()) &amp; ":" &amp; ADDRESS(Einkommen_Max_Row, COLUMN())))</f>
        <v>0</v>
      </c>
      <c r="CO20" s="20" cm="1">
        <f t="array" aca="1" ref="CO20" ca="1">SUM(INDIRECT(ADDRESS(Einkommen_Min_Row,COLUMN()) &amp; ":" &amp; ADDRESS(Einkommen_Max_Row, COLUMN())))</f>
        <v>0</v>
      </c>
      <c r="CP20" s="20" cm="1">
        <f t="array" aca="1" ref="CP20" ca="1">SUM(INDIRECT(ADDRESS(Einkommen_Min_Row,COLUMN()) &amp; ":" &amp; ADDRESS(Einkommen_Max_Row, COLUMN())))</f>
        <v>0</v>
      </c>
      <c r="CQ20" s="20" cm="1">
        <f t="array" aca="1" ref="CQ20" ca="1">SUM(INDIRECT(ADDRESS(Einkommen_Min_Row,COLUMN()) &amp; ":" &amp; ADDRESS(Einkommen_Max_Row, COLUMN())))</f>
        <v>0</v>
      </c>
      <c r="CR20" s="20" cm="1">
        <f t="array" aca="1" ref="CR20" ca="1">SUM(INDIRECT(ADDRESS(Einkommen_Min_Row,COLUMN()) &amp; ":" &amp; ADDRESS(Einkommen_Max_Row, COLUMN())))</f>
        <v>0</v>
      </c>
      <c r="CS20" s="20" cm="1">
        <f t="array" aca="1" ref="CS20" ca="1">SUM(INDIRECT(ADDRESS(Einkommen_Min_Row,COLUMN()) &amp; ":" &amp; ADDRESS(Einkommen_Max_Row, COLUMN())))</f>
        <v>0</v>
      </c>
      <c r="CT20" s="20" cm="1">
        <f t="array" aca="1" ref="CT20" ca="1">SUM(INDIRECT(ADDRESS(Einkommen_Min_Row,COLUMN()) &amp; ":" &amp; ADDRESS(Einkommen_Max_Row, COLUMN())))</f>
        <v>0</v>
      </c>
      <c r="CU20" s="20" cm="1">
        <f t="array" aca="1" ref="CU20" ca="1">SUM(INDIRECT(ADDRESS(Einkommen_Min_Row,COLUMN()) &amp; ":" &amp; ADDRESS(Einkommen_Max_Row, COLUMN())))</f>
        <v>0</v>
      </c>
      <c r="CV20" s="20" cm="1">
        <f t="array" aca="1" ref="CV20" ca="1">SUM(INDIRECT(ADDRESS(Einkommen_Min_Row,COLUMN()) &amp; ":" &amp; ADDRESS(Einkommen_Max_Row, COLUMN())))</f>
        <v>0</v>
      </c>
      <c r="CW20" s="20" cm="1">
        <f t="array" aca="1" ref="CW20" ca="1">SUM(INDIRECT(ADDRESS(Einkommen_Min_Row,COLUMN()) &amp; ":" &amp; ADDRESS(Einkommen_Max_Row, COLUMN())))</f>
        <v>0</v>
      </c>
      <c r="CY20" s="20" cm="1">
        <f t="array" aca="1" ref="CY20" ca="1">SUM(INDIRECT(ADDRESS(Einkommen_Min_Row,COLUMN()) &amp; ":" &amp; ADDRESS(Einkommen_Max_Row, COLUMN())))</f>
        <v>0</v>
      </c>
      <c r="CZ20" s="20" cm="1">
        <f t="array" aca="1" ref="CZ20" ca="1">SUM(INDIRECT(ADDRESS(Einkommen_Min_Row,COLUMN()) &amp; ":" &amp; ADDRESS(Einkommen_Max_Row, COLUMN())))</f>
        <v>0</v>
      </c>
      <c r="DA20" s="20" cm="1">
        <f t="array" aca="1" ref="DA20" ca="1">SUM(INDIRECT(ADDRESS(Einkommen_Min_Row,COLUMN()) &amp; ":" &amp; ADDRESS(Einkommen_Max_Row, COLUMN())))</f>
        <v>0</v>
      </c>
      <c r="DB20" s="20" cm="1">
        <f t="array" aca="1" ref="DB20" ca="1">SUM(INDIRECT(ADDRESS(Einkommen_Min_Row,COLUMN()) &amp; ":" &amp; ADDRESS(Einkommen_Max_Row, COLUMN())))</f>
        <v>0</v>
      </c>
      <c r="DC20" s="20" cm="1">
        <f t="array" aca="1" ref="DC20" ca="1">SUM(INDIRECT(ADDRESS(Einkommen_Min_Row,COLUMN()) &amp; ":" &amp; ADDRESS(Einkommen_Max_Row, COLUMN())))</f>
        <v>0</v>
      </c>
      <c r="DD20" s="20" cm="1">
        <f t="array" aca="1" ref="DD20" ca="1">SUM(INDIRECT(ADDRESS(Einkommen_Min_Row,COLUMN()) &amp; ":" &amp; ADDRESS(Einkommen_Max_Row, COLUMN())))</f>
        <v>0</v>
      </c>
      <c r="DE20" s="20" cm="1">
        <f t="array" aca="1" ref="DE20" ca="1">SUM(INDIRECT(ADDRESS(Einkommen_Min_Row,COLUMN()) &amp; ":" &amp; ADDRESS(Einkommen_Max_Row, COLUMN())))</f>
        <v>0</v>
      </c>
      <c r="DF20" s="20" cm="1">
        <f t="array" aca="1" ref="DF20" ca="1">SUM(INDIRECT(ADDRESS(Einkommen_Min_Row,COLUMN()) &amp; ":" &amp; ADDRESS(Einkommen_Max_Row, COLUMN())))</f>
        <v>0</v>
      </c>
      <c r="DG20" s="20" cm="1">
        <f t="array" aca="1" ref="DG20" ca="1">SUM(INDIRECT(ADDRESS(Einkommen_Min_Row,COLUMN()) &amp; ":" &amp; ADDRESS(Einkommen_Max_Row, COLUMN())))</f>
        <v>0</v>
      </c>
      <c r="DH20" s="20" cm="1">
        <f t="array" aca="1" ref="DH20" ca="1">SUM(INDIRECT(ADDRESS(Einkommen_Min_Row,COLUMN()) &amp; ":" &amp; ADDRESS(Einkommen_Max_Row, COLUMN())))</f>
        <v>0</v>
      </c>
      <c r="DI20" s="20" cm="1">
        <f t="array" aca="1" ref="DI20" ca="1">SUM(INDIRECT(ADDRESS(Einkommen_Min_Row,COLUMN()) &amp; ":" &amp; ADDRESS(Einkommen_Max_Row, COLUMN())))</f>
        <v>0</v>
      </c>
      <c r="DJ20" s="20" cm="1">
        <f t="array" aca="1" ref="DJ20" ca="1">SUM(INDIRECT(ADDRESS(Einkommen_Min_Row,COLUMN()) &amp; ":" &amp; ADDRESS(Einkommen_Max_Row, COLUMN())))</f>
        <v>0</v>
      </c>
      <c r="DK20" s="20" cm="1">
        <f t="array" aca="1" ref="DK20" ca="1">SUM(INDIRECT(ADDRESS(Einkommen_Min_Row,COLUMN()) &amp; ":" &amp; ADDRESS(Einkommen_Max_Row, COLUMN())))</f>
        <v>0</v>
      </c>
      <c r="DM20" s="20" cm="1">
        <f t="array" aca="1" ref="DM20" ca="1">SUM(INDIRECT(ADDRESS(Einkommen_Min_Row,COLUMN()) &amp; ":" &amp; ADDRESS(Einkommen_Max_Row, COLUMN())))</f>
        <v>0</v>
      </c>
      <c r="DN20" s="20" cm="1">
        <f t="array" aca="1" ref="DN20" ca="1">SUM(INDIRECT(ADDRESS(Einkommen_Min_Row,COLUMN()) &amp; ":" &amp; ADDRESS(Einkommen_Max_Row, COLUMN())))</f>
        <v>0</v>
      </c>
      <c r="DO20" s="20" cm="1">
        <f t="array" aca="1" ref="DO20" ca="1">SUM(INDIRECT(ADDRESS(Einkommen_Min_Row,COLUMN()) &amp; ":" &amp; ADDRESS(Einkommen_Max_Row, COLUMN())))</f>
        <v>0</v>
      </c>
      <c r="DP20" s="20" cm="1">
        <f t="array" aca="1" ref="DP20" ca="1">SUM(INDIRECT(ADDRESS(Einkommen_Min_Row,COLUMN()) &amp; ":" &amp; ADDRESS(Einkommen_Max_Row, COLUMN())))</f>
        <v>0</v>
      </c>
      <c r="DQ20" s="20" cm="1">
        <f t="array" aca="1" ref="DQ20" ca="1">SUM(INDIRECT(ADDRESS(Einkommen_Min_Row,COLUMN()) &amp; ":" &amp; ADDRESS(Einkommen_Max_Row, COLUMN())))</f>
        <v>0</v>
      </c>
      <c r="DR20" s="20" cm="1">
        <f t="array" aca="1" ref="DR20" ca="1">SUM(INDIRECT(ADDRESS(Einkommen_Min_Row,COLUMN()) &amp; ":" &amp; ADDRESS(Einkommen_Max_Row, COLUMN())))</f>
        <v>0</v>
      </c>
      <c r="DS20" s="20" cm="1">
        <f t="array" aca="1" ref="DS20" ca="1">SUM(INDIRECT(ADDRESS(Einkommen_Min_Row,COLUMN()) &amp; ":" &amp; ADDRESS(Einkommen_Max_Row, COLUMN())))</f>
        <v>0</v>
      </c>
      <c r="DT20" s="20" cm="1">
        <f t="array" aca="1" ref="DT20" ca="1">SUM(INDIRECT(ADDRESS(Einkommen_Min_Row,COLUMN()) &amp; ":" &amp; ADDRESS(Einkommen_Max_Row, COLUMN())))</f>
        <v>0</v>
      </c>
      <c r="DU20" s="20" cm="1">
        <f t="array" aca="1" ref="DU20" ca="1">SUM(INDIRECT(ADDRESS(Einkommen_Min_Row,COLUMN()) &amp; ":" &amp; ADDRESS(Einkommen_Max_Row, COLUMN())))</f>
        <v>0</v>
      </c>
      <c r="DV20" s="20" cm="1">
        <f t="array" aca="1" ref="DV20" ca="1">SUM(INDIRECT(ADDRESS(Einkommen_Min_Row,COLUMN()) &amp; ":" &amp; ADDRESS(Einkommen_Max_Row, COLUMN())))</f>
        <v>0</v>
      </c>
      <c r="DW20" s="20" cm="1">
        <f t="array" aca="1" ref="DW20" ca="1">SUM(INDIRECT(ADDRESS(Einkommen_Min_Row,COLUMN()) &amp; ":" &amp; ADDRESS(Einkommen_Max_Row, COLUMN())))</f>
        <v>0</v>
      </c>
      <c r="DX20" s="20" cm="1">
        <f t="array" aca="1" ref="DX20" ca="1">SUM(INDIRECT(ADDRESS(Einkommen_Min_Row,COLUMN()) &amp; ":" &amp; ADDRESS(Einkommen_Max_Row, COLUMN())))</f>
        <v>0</v>
      </c>
      <c r="DY20" s="20" cm="1">
        <f t="array" aca="1" ref="DY20" ca="1">SUM(INDIRECT(ADDRESS(Einkommen_Min_Row,COLUMN()) &amp; ":" &amp; ADDRESS(Einkommen_Max_Row, COLUMN())))</f>
        <v>0</v>
      </c>
      <c r="EA20" s="20" cm="1">
        <f t="array" aca="1" ref="EA20" ca="1">SUM(INDIRECT(ADDRESS(Einkommen_Min_Row,COLUMN()) &amp; ":" &amp; ADDRESS(Einkommen_Max_Row, COLUMN())))</f>
        <v>0</v>
      </c>
      <c r="EB20" s="20" cm="1">
        <f t="array" aca="1" ref="EB20" ca="1">SUM(INDIRECT(ADDRESS(Einkommen_Min_Row,COLUMN()) &amp; ":" &amp; ADDRESS(Einkommen_Max_Row, COLUMN())))</f>
        <v>0</v>
      </c>
      <c r="EC20" s="20" cm="1">
        <f t="array" aca="1" ref="EC20" ca="1">SUM(INDIRECT(ADDRESS(Einkommen_Min_Row,COLUMN()) &amp; ":" &amp; ADDRESS(Einkommen_Max_Row, COLUMN())))</f>
        <v>0</v>
      </c>
      <c r="ED20" s="20" cm="1">
        <f t="array" aca="1" ref="ED20" ca="1">SUM(INDIRECT(ADDRESS(Einkommen_Min_Row,COLUMN()) &amp; ":" &amp; ADDRESS(Einkommen_Max_Row, COLUMN())))</f>
        <v>0</v>
      </c>
      <c r="EE20" s="20" cm="1">
        <f t="array" aca="1" ref="EE20" ca="1">SUM(INDIRECT(ADDRESS(Einkommen_Min_Row,COLUMN()) &amp; ":" &amp; ADDRESS(Einkommen_Max_Row, COLUMN())))</f>
        <v>0</v>
      </c>
      <c r="EF20" s="20" cm="1">
        <f t="array" aca="1" ref="EF20" ca="1">SUM(INDIRECT(ADDRESS(Einkommen_Min_Row,COLUMN()) &amp; ":" &amp; ADDRESS(Einkommen_Max_Row, COLUMN())))</f>
        <v>0</v>
      </c>
      <c r="EG20" s="20" cm="1">
        <f t="array" aca="1" ref="EG20" ca="1">SUM(INDIRECT(ADDRESS(Einkommen_Min_Row,COLUMN()) &amp; ":" &amp; ADDRESS(Einkommen_Max_Row, COLUMN())))</f>
        <v>0</v>
      </c>
      <c r="EH20" s="20" cm="1">
        <f t="array" aca="1" ref="EH20" ca="1">SUM(INDIRECT(ADDRESS(Einkommen_Min_Row,COLUMN()) &amp; ":" &amp; ADDRESS(Einkommen_Max_Row, COLUMN())))</f>
        <v>0</v>
      </c>
      <c r="EI20" s="20" cm="1">
        <f t="array" aca="1" ref="EI20" ca="1">SUM(INDIRECT(ADDRESS(Einkommen_Min_Row,COLUMN()) &amp; ":" &amp; ADDRESS(Einkommen_Max_Row, COLUMN())))</f>
        <v>0</v>
      </c>
      <c r="EJ20" s="20" cm="1">
        <f t="array" aca="1" ref="EJ20" ca="1">SUM(INDIRECT(ADDRESS(Einkommen_Min_Row,COLUMN()) &amp; ":" &amp; ADDRESS(Einkommen_Max_Row, COLUMN())))</f>
        <v>0</v>
      </c>
      <c r="EK20" s="20" cm="1">
        <f t="array" aca="1" ref="EK20" ca="1">SUM(INDIRECT(ADDRESS(Einkommen_Min_Row,COLUMN()) &amp; ":" &amp; ADDRESS(Einkommen_Max_Row, COLUMN())))</f>
        <v>0</v>
      </c>
      <c r="EL20" s="20" cm="1">
        <f t="array" aca="1" ref="EL20" ca="1">SUM(INDIRECT(ADDRESS(Einkommen_Min_Row,COLUMN()) &amp; ":" &amp; ADDRESS(Einkommen_Max_Row, COLUMN())))</f>
        <v>0</v>
      </c>
      <c r="EM20" s="20" cm="1">
        <f t="array" aca="1" ref="EM20" ca="1">SUM(INDIRECT(ADDRESS(Einkommen_Min_Row,COLUMN()) &amp; ":" &amp; ADDRESS(Einkommen_Max_Row, COLUMN())))</f>
        <v>0</v>
      </c>
      <c r="EO20" s="20" cm="1">
        <f t="array" aca="1" ref="EO20" ca="1">SUM(INDIRECT(ADDRESS(Einkommen_Min_Row,COLUMN()) &amp; ":" &amp; ADDRESS(Einkommen_Max_Row, COLUMN())))</f>
        <v>0</v>
      </c>
      <c r="EP20" s="20" cm="1">
        <f t="array" aca="1" ref="EP20" ca="1">SUM(INDIRECT(ADDRESS(Einkommen_Min_Row,COLUMN()) &amp; ":" &amp; ADDRESS(Einkommen_Max_Row, COLUMN())))</f>
        <v>0</v>
      </c>
      <c r="EQ20" s="20" cm="1">
        <f t="array" aca="1" ref="EQ20" ca="1">SUM(INDIRECT(ADDRESS(Einkommen_Min_Row,COLUMN()) &amp; ":" &amp; ADDRESS(Einkommen_Max_Row, COLUMN())))</f>
        <v>0</v>
      </c>
      <c r="ER20" s="20" cm="1">
        <f t="array" aca="1" ref="ER20" ca="1">SUM(INDIRECT(ADDRESS(Einkommen_Min_Row,COLUMN()) &amp; ":" &amp; ADDRESS(Einkommen_Max_Row, COLUMN())))</f>
        <v>0</v>
      </c>
      <c r="ES20" s="20" cm="1">
        <f t="array" aca="1" ref="ES20" ca="1">SUM(INDIRECT(ADDRESS(Einkommen_Min_Row,COLUMN()) &amp; ":" &amp; ADDRESS(Einkommen_Max_Row, COLUMN())))</f>
        <v>0</v>
      </c>
      <c r="ET20" s="20" cm="1">
        <f t="array" aca="1" ref="ET20" ca="1">SUM(INDIRECT(ADDRESS(Einkommen_Min_Row,COLUMN()) &amp; ":" &amp; ADDRESS(Einkommen_Max_Row, COLUMN())))</f>
        <v>0</v>
      </c>
      <c r="EU20" s="20" cm="1">
        <f t="array" aca="1" ref="EU20" ca="1">SUM(INDIRECT(ADDRESS(Einkommen_Min_Row,COLUMN()) &amp; ":" &amp; ADDRESS(Einkommen_Max_Row, COLUMN())))</f>
        <v>0</v>
      </c>
      <c r="EV20" s="20" cm="1">
        <f t="array" aca="1" ref="EV20" ca="1">SUM(INDIRECT(ADDRESS(Einkommen_Min_Row,COLUMN()) &amp; ":" &amp; ADDRESS(Einkommen_Max_Row, COLUMN())))</f>
        <v>0</v>
      </c>
      <c r="EW20" s="20" cm="1">
        <f t="array" aca="1" ref="EW20" ca="1">SUM(INDIRECT(ADDRESS(Einkommen_Min_Row,COLUMN()) &amp; ":" &amp; ADDRESS(Einkommen_Max_Row, COLUMN())))</f>
        <v>0</v>
      </c>
      <c r="EX20" s="20" cm="1">
        <f t="array" aca="1" ref="EX20" ca="1">SUM(INDIRECT(ADDRESS(Einkommen_Min_Row,COLUMN()) &amp; ":" &amp; ADDRESS(Einkommen_Max_Row, COLUMN())))</f>
        <v>0</v>
      </c>
      <c r="EY20" s="20" cm="1">
        <f t="array" aca="1" ref="EY20" ca="1">SUM(INDIRECT(ADDRESS(Einkommen_Min_Row,COLUMN()) &amp; ":" &amp; ADDRESS(Einkommen_Max_Row, COLUMN())))</f>
        <v>0</v>
      </c>
      <c r="EZ20" s="20" cm="1">
        <f t="array" aca="1" ref="EZ20" ca="1">SUM(INDIRECT(ADDRESS(Einkommen_Min_Row,COLUMN()) &amp; ":" &amp; ADDRESS(Einkommen_Max_Row, COLUMN())))</f>
        <v>0</v>
      </c>
      <c r="FA20" s="20" cm="1">
        <f t="array" aca="1" ref="FA20" ca="1">SUM(INDIRECT(ADDRESS(Einkommen_Min_Row,COLUMN()) &amp; ":" &amp; ADDRESS(Einkommen_Max_Row, COLUMN())))</f>
        <v>0</v>
      </c>
    </row>
    <row r="22" spans="2:157" x14ac:dyDescent="0.3">
      <c r="C22" s="22" t="s">
        <v>24</v>
      </c>
      <c r="E22" s="23">
        <f>DATE(E$5,1,1)</f>
        <v>1</v>
      </c>
      <c r="F22" s="23">
        <f>DATE(E$5,2,1)</f>
        <v>32</v>
      </c>
      <c r="G22" s="23">
        <f>DATE(E$5,3,1)</f>
        <v>61</v>
      </c>
      <c r="H22" s="23">
        <f>DATE(E$5,4,1)</f>
        <v>92</v>
      </c>
      <c r="I22" s="23">
        <f>DATE(E$5,5,1)</f>
        <v>122</v>
      </c>
      <c r="J22" s="23">
        <f>DATE(E$5,6,1)</f>
        <v>153</v>
      </c>
      <c r="K22" s="23">
        <f>DATE(E$5,7,1)</f>
        <v>183</v>
      </c>
      <c r="L22" s="23">
        <f>DATE(E$5,8,1)</f>
        <v>214</v>
      </c>
      <c r="M22" s="23">
        <f>DATE(E$5,9,1)</f>
        <v>245</v>
      </c>
      <c r="N22" s="23">
        <f>DATE(E$5,10,1)</f>
        <v>275</v>
      </c>
      <c r="O22" s="23">
        <f>DATE(E$5,11,1)</f>
        <v>306</v>
      </c>
      <c r="P22" s="23">
        <f>DATE(E$5,12,1)</f>
        <v>336</v>
      </c>
      <c r="Q22" s="24">
        <f>E$5</f>
        <v>0</v>
      </c>
      <c r="S22" s="23">
        <f>DATE(S$5,1,1)</f>
        <v>367</v>
      </c>
      <c r="T22" s="23">
        <f>DATE(S$5,2,1)</f>
        <v>398</v>
      </c>
      <c r="U22" s="23">
        <f>DATE(S$5,3,1)</f>
        <v>426</v>
      </c>
      <c r="V22" s="23">
        <f>DATE(S$5,4,1)</f>
        <v>457</v>
      </c>
      <c r="W22" s="23">
        <f>DATE(S$5,5,1)</f>
        <v>487</v>
      </c>
      <c r="X22" s="23">
        <f>DATE(S$5,6,1)</f>
        <v>518</v>
      </c>
      <c r="Y22" s="23">
        <f>DATE(S$5,7,1)</f>
        <v>548</v>
      </c>
      <c r="Z22" s="23">
        <f>DATE(S$5,8,1)</f>
        <v>579</v>
      </c>
      <c r="AA22" s="23">
        <f>DATE(S$5,9,1)</f>
        <v>610</v>
      </c>
      <c r="AB22" s="23">
        <f>DATE(S$5,10,1)</f>
        <v>640</v>
      </c>
      <c r="AC22" s="23">
        <f>DATE(S$5,11,1)</f>
        <v>671</v>
      </c>
      <c r="AD22" s="23">
        <f>DATE(S$5,12,1)</f>
        <v>701</v>
      </c>
      <c r="AE22" s="24">
        <f>S$5</f>
        <v>1</v>
      </c>
      <c r="AG22" s="23">
        <f t="shared" ref="AG22" si="265">DATE(AG$5,1,1)</f>
        <v>732</v>
      </c>
      <c r="AH22" s="23">
        <f t="shared" ref="AH22" si="266">DATE(AG$5,2,1)</f>
        <v>763</v>
      </c>
      <c r="AI22" s="23">
        <f t="shared" ref="AI22" si="267">DATE(AG$5,3,1)</f>
        <v>791</v>
      </c>
      <c r="AJ22" s="23">
        <f t="shared" ref="AJ22" si="268">DATE(AG$5,4,1)</f>
        <v>822</v>
      </c>
      <c r="AK22" s="23">
        <f t="shared" ref="AK22" si="269">DATE(AG$5,5,1)</f>
        <v>852</v>
      </c>
      <c r="AL22" s="23">
        <f t="shared" ref="AL22" si="270">DATE(AG$5,6,1)</f>
        <v>883</v>
      </c>
      <c r="AM22" s="23">
        <f t="shared" ref="AM22" si="271">DATE(AG$5,7,1)</f>
        <v>913</v>
      </c>
      <c r="AN22" s="23">
        <f t="shared" ref="AN22" si="272">DATE(AG$5,8,1)</f>
        <v>944</v>
      </c>
      <c r="AO22" s="23">
        <f t="shared" ref="AO22" si="273">DATE(AG$5,9,1)</f>
        <v>975</v>
      </c>
      <c r="AP22" s="23">
        <f t="shared" ref="AP22" si="274">DATE(AG$5,10,1)</f>
        <v>1005</v>
      </c>
      <c r="AQ22" s="23">
        <f t="shared" ref="AQ22" si="275">DATE(AG$5,11,1)</f>
        <v>1036</v>
      </c>
      <c r="AR22" s="23">
        <f t="shared" ref="AR22" si="276">DATE(AG$5,12,1)</f>
        <v>1066</v>
      </c>
      <c r="AS22" s="24">
        <f t="shared" ref="AS22" si="277">AG$5</f>
        <v>2</v>
      </c>
      <c r="AU22" s="23">
        <f t="shared" ref="AU22" si="278">DATE(AU$5,1,1)</f>
        <v>1097</v>
      </c>
      <c r="AV22" s="23">
        <f t="shared" ref="AV22" si="279">DATE(AU$5,2,1)</f>
        <v>1128</v>
      </c>
      <c r="AW22" s="23">
        <f t="shared" ref="AW22" si="280">DATE(AU$5,3,1)</f>
        <v>1156</v>
      </c>
      <c r="AX22" s="23">
        <f t="shared" ref="AX22" si="281">DATE(AU$5,4,1)</f>
        <v>1187</v>
      </c>
      <c r="AY22" s="23">
        <f t="shared" ref="AY22" si="282">DATE(AU$5,5,1)</f>
        <v>1217</v>
      </c>
      <c r="AZ22" s="23">
        <f t="shared" ref="AZ22" si="283">DATE(AU$5,6,1)</f>
        <v>1248</v>
      </c>
      <c r="BA22" s="23">
        <f t="shared" ref="BA22" si="284">DATE(AU$5,7,1)</f>
        <v>1278</v>
      </c>
      <c r="BB22" s="23">
        <f t="shared" ref="BB22" si="285">DATE(AU$5,8,1)</f>
        <v>1309</v>
      </c>
      <c r="BC22" s="23">
        <f t="shared" ref="BC22" si="286">DATE(AU$5,9,1)</f>
        <v>1340</v>
      </c>
      <c r="BD22" s="23">
        <f t="shared" ref="BD22" si="287">DATE(AU$5,10,1)</f>
        <v>1370</v>
      </c>
      <c r="BE22" s="23">
        <f t="shared" ref="BE22" si="288">DATE(AU$5,11,1)</f>
        <v>1401</v>
      </c>
      <c r="BF22" s="23">
        <f t="shared" ref="BF22" si="289">DATE(AU$5,12,1)</f>
        <v>1431</v>
      </c>
      <c r="BG22" s="24">
        <f t="shared" ref="BG22" si="290">AU$5</f>
        <v>3</v>
      </c>
      <c r="BI22" s="23">
        <f t="shared" ref="BI22" si="291">DATE(BI$5,1,1)</f>
        <v>1462</v>
      </c>
      <c r="BJ22" s="23">
        <f t="shared" ref="BJ22" si="292">DATE(BI$5,2,1)</f>
        <v>1493</v>
      </c>
      <c r="BK22" s="23">
        <f t="shared" ref="BK22" si="293">DATE(BI$5,3,1)</f>
        <v>1522</v>
      </c>
      <c r="BL22" s="23">
        <f t="shared" ref="BL22" si="294">DATE(BI$5,4,1)</f>
        <v>1553</v>
      </c>
      <c r="BM22" s="23">
        <f t="shared" ref="BM22" si="295">DATE(BI$5,5,1)</f>
        <v>1583</v>
      </c>
      <c r="BN22" s="23">
        <f t="shared" ref="BN22" si="296">DATE(BI$5,6,1)</f>
        <v>1614</v>
      </c>
      <c r="BO22" s="23">
        <f t="shared" ref="BO22" si="297">DATE(BI$5,7,1)</f>
        <v>1644</v>
      </c>
      <c r="BP22" s="23">
        <f t="shared" ref="BP22" si="298">DATE(BI$5,8,1)</f>
        <v>1675</v>
      </c>
      <c r="BQ22" s="23">
        <f t="shared" ref="BQ22" si="299">DATE(BI$5,9,1)</f>
        <v>1706</v>
      </c>
      <c r="BR22" s="23">
        <f t="shared" ref="BR22" si="300">DATE(BI$5,10,1)</f>
        <v>1736</v>
      </c>
      <c r="BS22" s="23">
        <f t="shared" ref="BS22" si="301">DATE(BI$5,11,1)</f>
        <v>1767</v>
      </c>
      <c r="BT22" s="23">
        <f t="shared" ref="BT22" si="302">DATE(BI$5,12,1)</f>
        <v>1797</v>
      </c>
      <c r="BU22" s="24">
        <f t="shared" ref="BU22" si="303">BI$5</f>
        <v>4</v>
      </c>
      <c r="BW22" s="23">
        <f t="shared" ref="BW22" si="304">DATE(BW$5,1,1)</f>
        <v>1828</v>
      </c>
      <c r="BX22" s="23">
        <f t="shared" ref="BX22" si="305">DATE(BW$5,2,1)</f>
        <v>1859</v>
      </c>
      <c r="BY22" s="23">
        <f t="shared" ref="BY22" si="306">DATE(BW$5,3,1)</f>
        <v>1887</v>
      </c>
      <c r="BZ22" s="23">
        <f t="shared" ref="BZ22" si="307">DATE(BW$5,4,1)</f>
        <v>1918</v>
      </c>
      <c r="CA22" s="23">
        <f t="shared" ref="CA22" si="308">DATE(BW$5,5,1)</f>
        <v>1948</v>
      </c>
      <c r="CB22" s="23">
        <f t="shared" ref="CB22" si="309">DATE(BW$5,6,1)</f>
        <v>1979</v>
      </c>
      <c r="CC22" s="23">
        <f t="shared" ref="CC22" si="310">DATE(BW$5,7,1)</f>
        <v>2009</v>
      </c>
      <c r="CD22" s="23">
        <f t="shared" ref="CD22" si="311">DATE(BW$5,8,1)</f>
        <v>2040</v>
      </c>
      <c r="CE22" s="23">
        <f t="shared" ref="CE22" si="312">DATE(BW$5,9,1)</f>
        <v>2071</v>
      </c>
      <c r="CF22" s="23">
        <f t="shared" ref="CF22" si="313">DATE(BW$5,10,1)</f>
        <v>2101</v>
      </c>
      <c r="CG22" s="23">
        <f t="shared" ref="CG22" si="314">DATE(BW$5,11,1)</f>
        <v>2132</v>
      </c>
      <c r="CH22" s="23">
        <f t="shared" ref="CH22" si="315">DATE(BW$5,12,1)</f>
        <v>2162</v>
      </c>
      <c r="CI22" s="24">
        <f t="shared" ref="CI22" si="316">BW$5</f>
        <v>5</v>
      </c>
      <c r="CK22" s="23">
        <f t="shared" ref="CK22" si="317">DATE(CK$5,1,1)</f>
        <v>2193</v>
      </c>
      <c r="CL22" s="23">
        <f t="shared" ref="CL22" si="318">DATE(CK$5,2,1)</f>
        <v>2224</v>
      </c>
      <c r="CM22" s="23">
        <f t="shared" ref="CM22" si="319">DATE(CK$5,3,1)</f>
        <v>2252</v>
      </c>
      <c r="CN22" s="23">
        <f t="shared" ref="CN22" si="320">DATE(CK$5,4,1)</f>
        <v>2283</v>
      </c>
      <c r="CO22" s="23">
        <f t="shared" ref="CO22" si="321">DATE(CK$5,5,1)</f>
        <v>2313</v>
      </c>
      <c r="CP22" s="23">
        <f t="shared" ref="CP22" si="322">DATE(CK$5,6,1)</f>
        <v>2344</v>
      </c>
      <c r="CQ22" s="23">
        <f t="shared" ref="CQ22" si="323">DATE(CK$5,7,1)</f>
        <v>2374</v>
      </c>
      <c r="CR22" s="23">
        <f t="shared" ref="CR22" si="324">DATE(CK$5,8,1)</f>
        <v>2405</v>
      </c>
      <c r="CS22" s="23">
        <f t="shared" ref="CS22" si="325">DATE(CK$5,9,1)</f>
        <v>2436</v>
      </c>
      <c r="CT22" s="23">
        <f t="shared" ref="CT22" si="326">DATE(CK$5,10,1)</f>
        <v>2466</v>
      </c>
      <c r="CU22" s="23">
        <f t="shared" ref="CU22" si="327">DATE(CK$5,11,1)</f>
        <v>2497</v>
      </c>
      <c r="CV22" s="23">
        <f t="shared" ref="CV22" si="328">DATE(CK$5,12,1)</f>
        <v>2527</v>
      </c>
      <c r="CW22" s="24">
        <f t="shared" ref="CW22" si="329">CK$5</f>
        <v>6</v>
      </c>
      <c r="CY22" s="23">
        <f t="shared" ref="CY22" si="330">DATE(CY$5,1,1)</f>
        <v>2558</v>
      </c>
      <c r="CZ22" s="23">
        <f t="shared" ref="CZ22" si="331">DATE(CY$5,2,1)</f>
        <v>2589</v>
      </c>
      <c r="DA22" s="23">
        <f t="shared" ref="DA22" si="332">DATE(CY$5,3,1)</f>
        <v>2617</v>
      </c>
      <c r="DB22" s="23">
        <f t="shared" ref="DB22" si="333">DATE(CY$5,4,1)</f>
        <v>2648</v>
      </c>
      <c r="DC22" s="23">
        <f t="shared" ref="DC22" si="334">DATE(CY$5,5,1)</f>
        <v>2678</v>
      </c>
      <c r="DD22" s="23">
        <f t="shared" ref="DD22" si="335">DATE(CY$5,6,1)</f>
        <v>2709</v>
      </c>
      <c r="DE22" s="23">
        <f t="shared" ref="DE22" si="336">DATE(CY$5,7,1)</f>
        <v>2739</v>
      </c>
      <c r="DF22" s="23">
        <f t="shared" ref="DF22" si="337">DATE(CY$5,8,1)</f>
        <v>2770</v>
      </c>
      <c r="DG22" s="23">
        <f t="shared" ref="DG22" si="338">DATE(CY$5,9,1)</f>
        <v>2801</v>
      </c>
      <c r="DH22" s="23">
        <f t="shared" ref="DH22" si="339">DATE(CY$5,10,1)</f>
        <v>2831</v>
      </c>
      <c r="DI22" s="23">
        <f t="shared" ref="DI22" si="340">DATE(CY$5,11,1)</f>
        <v>2862</v>
      </c>
      <c r="DJ22" s="23">
        <f t="shared" ref="DJ22" si="341">DATE(CY$5,12,1)</f>
        <v>2892</v>
      </c>
      <c r="DK22" s="24">
        <f t="shared" ref="DK22" si="342">CY$5</f>
        <v>7</v>
      </c>
      <c r="DM22" s="23">
        <f t="shared" ref="DM22" si="343">DATE(DM$5,1,1)</f>
        <v>2923</v>
      </c>
      <c r="DN22" s="23">
        <f t="shared" ref="DN22" si="344">DATE(DM$5,2,1)</f>
        <v>2954</v>
      </c>
      <c r="DO22" s="23">
        <f t="shared" ref="DO22" si="345">DATE(DM$5,3,1)</f>
        <v>2983</v>
      </c>
      <c r="DP22" s="23">
        <f t="shared" ref="DP22" si="346">DATE(DM$5,4,1)</f>
        <v>3014</v>
      </c>
      <c r="DQ22" s="23">
        <f t="shared" ref="DQ22" si="347">DATE(DM$5,5,1)</f>
        <v>3044</v>
      </c>
      <c r="DR22" s="23">
        <f t="shared" ref="DR22" si="348">DATE(DM$5,6,1)</f>
        <v>3075</v>
      </c>
      <c r="DS22" s="23">
        <f t="shared" ref="DS22" si="349">DATE(DM$5,7,1)</f>
        <v>3105</v>
      </c>
      <c r="DT22" s="23">
        <f t="shared" ref="DT22" si="350">DATE(DM$5,8,1)</f>
        <v>3136</v>
      </c>
      <c r="DU22" s="23">
        <f t="shared" ref="DU22" si="351">DATE(DM$5,9,1)</f>
        <v>3167</v>
      </c>
      <c r="DV22" s="23">
        <f t="shared" ref="DV22" si="352">DATE(DM$5,10,1)</f>
        <v>3197</v>
      </c>
      <c r="DW22" s="23">
        <f t="shared" ref="DW22" si="353">DATE(DM$5,11,1)</f>
        <v>3228</v>
      </c>
      <c r="DX22" s="23">
        <f t="shared" ref="DX22" si="354">DATE(DM$5,12,1)</f>
        <v>3258</v>
      </c>
      <c r="DY22" s="24">
        <f t="shared" ref="DY22" si="355">DM$5</f>
        <v>8</v>
      </c>
      <c r="EA22" s="23">
        <f t="shared" ref="EA22" si="356">DATE(EA$5,1,1)</f>
        <v>3289</v>
      </c>
      <c r="EB22" s="23">
        <f t="shared" ref="EB22" si="357">DATE(EA$5,2,1)</f>
        <v>3320</v>
      </c>
      <c r="EC22" s="23">
        <f t="shared" ref="EC22" si="358">DATE(EA$5,3,1)</f>
        <v>3348</v>
      </c>
      <c r="ED22" s="23">
        <f t="shared" ref="ED22" si="359">DATE(EA$5,4,1)</f>
        <v>3379</v>
      </c>
      <c r="EE22" s="23">
        <f t="shared" ref="EE22" si="360">DATE(EA$5,5,1)</f>
        <v>3409</v>
      </c>
      <c r="EF22" s="23">
        <f t="shared" ref="EF22" si="361">DATE(EA$5,6,1)</f>
        <v>3440</v>
      </c>
      <c r="EG22" s="23">
        <f t="shared" ref="EG22" si="362">DATE(EA$5,7,1)</f>
        <v>3470</v>
      </c>
      <c r="EH22" s="23">
        <f t="shared" ref="EH22" si="363">DATE(EA$5,8,1)</f>
        <v>3501</v>
      </c>
      <c r="EI22" s="23">
        <f t="shared" ref="EI22" si="364">DATE(EA$5,9,1)</f>
        <v>3532</v>
      </c>
      <c r="EJ22" s="23">
        <f t="shared" ref="EJ22" si="365">DATE(EA$5,10,1)</f>
        <v>3562</v>
      </c>
      <c r="EK22" s="23">
        <f t="shared" ref="EK22" si="366">DATE(EA$5,11,1)</f>
        <v>3593</v>
      </c>
      <c r="EL22" s="23">
        <f t="shared" ref="EL22" si="367">DATE(EA$5,12,1)</f>
        <v>3623</v>
      </c>
      <c r="EM22" s="24">
        <f t="shared" ref="EM22" si="368">EA$5</f>
        <v>9</v>
      </c>
      <c r="EO22" s="23">
        <f t="shared" ref="EO22" si="369">DATE(EO$5,1,1)</f>
        <v>3654</v>
      </c>
      <c r="EP22" s="23">
        <f t="shared" ref="EP22" si="370">DATE(EO$5,2,1)</f>
        <v>3685</v>
      </c>
      <c r="EQ22" s="23">
        <f t="shared" ref="EQ22" si="371">DATE(EO$5,3,1)</f>
        <v>3713</v>
      </c>
      <c r="ER22" s="23">
        <f t="shared" ref="ER22" si="372">DATE(EO$5,4,1)</f>
        <v>3744</v>
      </c>
      <c r="ES22" s="23">
        <f t="shared" ref="ES22" si="373">DATE(EO$5,5,1)</f>
        <v>3774</v>
      </c>
      <c r="ET22" s="23">
        <f t="shared" ref="ET22" si="374">DATE(EO$5,6,1)</f>
        <v>3805</v>
      </c>
      <c r="EU22" s="23">
        <f t="shared" ref="EU22" si="375">DATE(EO$5,7,1)</f>
        <v>3835</v>
      </c>
      <c r="EV22" s="23">
        <f t="shared" ref="EV22" si="376">DATE(EO$5,8,1)</f>
        <v>3866</v>
      </c>
      <c r="EW22" s="23">
        <f t="shared" ref="EW22" si="377">DATE(EO$5,9,1)</f>
        <v>3897</v>
      </c>
      <c r="EX22" s="23">
        <f t="shared" ref="EX22" si="378">DATE(EO$5,10,1)</f>
        <v>3927</v>
      </c>
      <c r="EY22" s="23">
        <f t="shared" ref="EY22" si="379">DATE(EO$5,11,1)</f>
        <v>3958</v>
      </c>
      <c r="EZ22" s="23">
        <f t="shared" ref="EZ22" si="380">DATE(EO$5,12,1)</f>
        <v>3988</v>
      </c>
      <c r="FA22" s="24">
        <f t="shared" ref="FA22" si="381">EO$5</f>
        <v>10</v>
      </c>
    </row>
    <row r="23" spans="2:157" x14ac:dyDescent="0.3">
      <c r="C23" s="18" t="s">
        <v>37</v>
      </c>
      <c r="E23" s="19"/>
      <c r="F23" s="19"/>
      <c r="G23" s="19"/>
      <c r="H23" s="19"/>
      <c r="I23" s="19"/>
      <c r="J23" s="19"/>
      <c r="K23" s="19"/>
      <c r="L23" s="19"/>
      <c r="M23" s="19"/>
      <c r="N23" s="19"/>
      <c r="O23" s="19"/>
      <c r="P23" s="19"/>
      <c r="Q23" s="21">
        <f>SUM(E23:P23)</f>
        <v>0</v>
      </c>
      <c r="S23" s="19"/>
      <c r="T23" s="19"/>
      <c r="U23" s="19"/>
      <c r="V23" s="19"/>
      <c r="W23" s="19"/>
      <c r="X23" s="19"/>
      <c r="Y23" s="19"/>
      <c r="Z23" s="19"/>
      <c r="AA23" s="19"/>
      <c r="AB23" s="19"/>
      <c r="AC23" s="19"/>
      <c r="AD23" s="19"/>
      <c r="AE23" s="21">
        <f>SUM(S23:AD23)</f>
        <v>0</v>
      </c>
      <c r="AG23" s="19"/>
      <c r="AH23" s="19"/>
      <c r="AI23" s="19"/>
      <c r="AJ23" s="19"/>
      <c r="AK23" s="19"/>
      <c r="AL23" s="19"/>
      <c r="AM23" s="19"/>
      <c r="AN23" s="19"/>
      <c r="AO23" s="19"/>
      <c r="AP23" s="19"/>
      <c r="AQ23" s="19"/>
      <c r="AR23" s="19"/>
      <c r="AS23" s="21">
        <f t="shared" ref="AS23:AS32" si="382">SUM(AG23:AR23)</f>
        <v>0</v>
      </c>
      <c r="AU23" s="19"/>
      <c r="AV23" s="19"/>
      <c r="AW23" s="19"/>
      <c r="AX23" s="19"/>
      <c r="AY23" s="19"/>
      <c r="AZ23" s="19"/>
      <c r="BA23" s="19"/>
      <c r="BB23" s="19"/>
      <c r="BC23" s="19"/>
      <c r="BD23" s="19"/>
      <c r="BE23" s="19"/>
      <c r="BF23" s="19"/>
      <c r="BG23" s="21">
        <f t="shared" ref="BG23:BG32" si="383">SUM(AU23:BF23)</f>
        <v>0</v>
      </c>
      <c r="BI23" s="19"/>
      <c r="BJ23" s="19"/>
      <c r="BK23" s="19"/>
      <c r="BL23" s="19"/>
      <c r="BM23" s="19"/>
      <c r="BN23" s="19"/>
      <c r="BO23" s="19"/>
      <c r="BP23" s="19"/>
      <c r="BQ23" s="19"/>
      <c r="BR23" s="19"/>
      <c r="BS23" s="19"/>
      <c r="BT23" s="19"/>
      <c r="BU23" s="21">
        <f t="shared" ref="BU23:BU32" si="384">SUM(BI23:BT23)</f>
        <v>0</v>
      </c>
      <c r="BW23" s="19"/>
      <c r="BX23" s="19"/>
      <c r="BY23" s="19"/>
      <c r="BZ23" s="19"/>
      <c r="CA23" s="19"/>
      <c r="CB23" s="19"/>
      <c r="CC23" s="19"/>
      <c r="CD23" s="19"/>
      <c r="CE23" s="19"/>
      <c r="CF23" s="19"/>
      <c r="CG23" s="19"/>
      <c r="CH23" s="19"/>
      <c r="CI23" s="21">
        <f t="shared" ref="CI23:CI32" si="385">SUM(BW23:CH23)</f>
        <v>0</v>
      </c>
      <c r="CK23" s="19"/>
      <c r="CL23" s="19"/>
      <c r="CM23" s="19"/>
      <c r="CN23" s="19"/>
      <c r="CO23" s="19"/>
      <c r="CP23" s="19"/>
      <c r="CQ23" s="19"/>
      <c r="CR23" s="19"/>
      <c r="CS23" s="19"/>
      <c r="CT23" s="19"/>
      <c r="CU23" s="19"/>
      <c r="CV23" s="19"/>
      <c r="CW23" s="21">
        <f t="shared" ref="CW23:CW32" si="386">SUM(CK23:CV23)</f>
        <v>0</v>
      </c>
      <c r="CY23" s="19"/>
      <c r="CZ23" s="19"/>
      <c r="DA23" s="19"/>
      <c r="DB23" s="19"/>
      <c r="DC23" s="19"/>
      <c r="DD23" s="19"/>
      <c r="DE23" s="19"/>
      <c r="DF23" s="19"/>
      <c r="DG23" s="19"/>
      <c r="DH23" s="19"/>
      <c r="DI23" s="19"/>
      <c r="DJ23" s="19"/>
      <c r="DK23" s="21">
        <f t="shared" ref="DK23:DK32" si="387">SUM(CY23:DJ23)</f>
        <v>0</v>
      </c>
      <c r="DM23" s="19"/>
      <c r="DN23" s="19"/>
      <c r="DO23" s="19"/>
      <c r="DP23" s="19"/>
      <c r="DQ23" s="19"/>
      <c r="DR23" s="19"/>
      <c r="DS23" s="19"/>
      <c r="DT23" s="19"/>
      <c r="DU23" s="19"/>
      <c r="DV23" s="19"/>
      <c r="DW23" s="19"/>
      <c r="DX23" s="19"/>
      <c r="DY23" s="21">
        <f t="shared" ref="DY23:DY32" si="388">SUM(DM23:DX23)</f>
        <v>0</v>
      </c>
      <c r="EA23" s="19"/>
      <c r="EB23" s="19"/>
      <c r="EC23" s="19"/>
      <c r="ED23" s="19"/>
      <c r="EE23" s="19"/>
      <c r="EF23" s="19"/>
      <c r="EG23" s="19"/>
      <c r="EH23" s="19"/>
      <c r="EI23" s="19"/>
      <c r="EJ23" s="19"/>
      <c r="EK23" s="19"/>
      <c r="EL23" s="19"/>
      <c r="EM23" s="21">
        <f t="shared" ref="EM23:EM32" si="389">SUM(EA23:EL23)</f>
        <v>0</v>
      </c>
      <c r="EO23" s="19"/>
      <c r="EP23" s="19"/>
      <c r="EQ23" s="19"/>
      <c r="ER23" s="19"/>
      <c r="ES23" s="19"/>
      <c r="ET23" s="19"/>
      <c r="EU23" s="19"/>
      <c r="EV23" s="19"/>
      <c r="EW23" s="19"/>
      <c r="EX23" s="19"/>
      <c r="EY23" s="19"/>
      <c r="EZ23" s="19"/>
      <c r="FA23" s="21">
        <f t="shared" ref="FA23:FA32" si="390">SUM(EO23:EZ23)</f>
        <v>0</v>
      </c>
    </row>
    <row r="24" spans="2:157" x14ac:dyDescent="0.3">
      <c r="B24" t="s">
        <v>25</v>
      </c>
      <c r="C24" s="18" t="s">
        <v>38</v>
      </c>
      <c r="E24" s="19"/>
      <c r="F24" s="19"/>
      <c r="G24" s="19"/>
      <c r="H24" s="19"/>
      <c r="I24" s="19"/>
      <c r="J24" s="19"/>
      <c r="K24" s="19"/>
      <c r="L24" s="19"/>
      <c r="M24" s="19"/>
      <c r="N24" s="19"/>
      <c r="O24" s="19"/>
      <c r="P24" s="19"/>
      <c r="Q24" s="21">
        <f t="shared" ref="Q24:Q32" si="391">SUM(E24:P24)</f>
        <v>0</v>
      </c>
      <c r="S24" s="19"/>
      <c r="T24" s="19"/>
      <c r="U24" s="19"/>
      <c r="V24" s="19"/>
      <c r="W24" s="19"/>
      <c r="X24" s="19"/>
      <c r="Y24" s="19"/>
      <c r="Z24" s="19"/>
      <c r="AA24" s="19"/>
      <c r="AB24" s="19"/>
      <c r="AC24" s="19"/>
      <c r="AD24" s="19"/>
      <c r="AE24" s="21">
        <f t="shared" ref="AE24:AE32" si="392">SUM(S24:AD24)</f>
        <v>0</v>
      </c>
      <c r="AG24" s="19"/>
      <c r="AH24" s="19"/>
      <c r="AI24" s="19"/>
      <c r="AJ24" s="19"/>
      <c r="AK24" s="19"/>
      <c r="AL24" s="19"/>
      <c r="AM24" s="19"/>
      <c r="AN24" s="19"/>
      <c r="AO24" s="19"/>
      <c r="AP24" s="19"/>
      <c r="AQ24" s="19"/>
      <c r="AR24" s="19"/>
      <c r="AS24" s="21">
        <f t="shared" si="382"/>
        <v>0</v>
      </c>
      <c r="AU24" s="19"/>
      <c r="AV24" s="19"/>
      <c r="AW24" s="19"/>
      <c r="AX24" s="19"/>
      <c r="AY24" s="19"/>
      <c r="AZ24" s="19"/>
      <c r="BA24" s="19"/>
      <c r="BB24" s="19"/>
      <c r="BC24" s="19"/>
      <c r="BD24" s="19"/>
      <c r="BE24" s="19"/>
      <c r="BF24" s="19"/>
      <c r="BG24" s="21">
        <f t="shared" si="383"/>
        <v>0</v>
      </c>
      <c r="BI24" s="19"/>
      <c r="BJ24" s="19"/>
      <c r="BK24" s="19"/>
      <c r="BL24" s="19"/>
      <c r="BM24" s="19"/>
      <c r="BN24" s="19"/>
      <c r="BO24" s="19"/>
      <c r="BP24" s="19"/>
      <c r="BQ24" s="19"/>
      <c r="BR24" s="19"/>
      <c r="BS24" s="19"/>
      <c r="BT24" s="19"/>
      <c r="BU24" s="21">
        <f t="shared" si="384"/>
        <v>0</v>
      </c>
      <c r="BW24" s="19"/>
      <c r="BX24" s="19"/>
      <c r="BY24" s="19"/>
      <c r="BZ24" s="19"/>
      <c r="CA24" s="19"/>
      <c r="CB24" s="19"/>
      <c r="CC24" s="19"/>
      <c r="CD24" s="19"/>
      <c r="CE24" s="19"/>
      <c r="CF24" s="19"/>
      <c r="CG24" s="19"/>
      <c r="CH24" s="19"/>
      <c r="CI24" s="21">
        <f t="shared" si="385"/>
        <v>0</v>
      </c>
      <c r="CK24" s="19"/>
      <c r="CL24" s="19"/>
      <c r="CM24" s="19"/>
      <c r="CN24" s="19"/>
      <c r="CO24" s="19"/>
      <c r="CP24" s="19"/>
      <c r="CQ24" s="19"/>
      <c r="CR24" s="19"/>
      <c r="CS24" s="19"/>
      <c r="CT24" s="19"/>
      <c r="CU24" s="19"/>
      <c r="CV24" s="19"/>
      <c r="CW24" s="21">
        <f t="shared" si="386"/>
        <v>0</v>
      </c>
      <c r="CY24" s="19"/>
      <c r="CZ24" s="19"/>
      <c r="DA24" s="19"/>
      <c r="DB24" s="19"/>
      <c r="DC24" s="19"/>
      <c r="DD24" s="19"/>
      <c r="DE24" s="19"/>
      <c r="DF24" s="19"/>
      <c r="DG24" s="19"/>
      <c r="DH24" s="19"/>
      <c r="DI24" s="19"/>
      <c r="DJ24" s="19"/>
      <c r="DK24" s="21">
        <f t="shared" si="387"/>
        <v>0</v>
      </c>
      <c r="DM24" s="19"/>
      <c r="DN24" s="19"/>
      <c r="DO24" s="19"/>
      <c r="DP24" s="19"/>
      <c r="DQ24" s="19"/>
      <c r="DR24" s="19"/>
      <c r="DS24" s="19"/>
      <c r="DT24" s="19"/>
      <c r="DU24" s="19"/>
      <c r="DV24" s="19"/>
      <c r="DW24" s="19"/>
      <c r="DX24" s="19"/>
      <c r="DY24" s="21">
        <f t="shared" si="388"/>
        <v>0</v>
      </c>
      <c r="EA24" s="19"/>
      <c r="EB24" s="19"/>
      <c r="EC24" s="19"/>
      <c r="ED24" s="19"/>
      <c r="EE24" s="19"/>
      <c r="EF24" s="19"/>
      <c r="EG24" s="19"/>
      <c r="EH24" s="19"/>
      <c r="EI24" s="19"/>
      <c r="EJ24" s="19"/>
      <c r="EK24" s="19"/>
      <c r="EL24" s="19"/>
      <c r="EM24" s="21">
        <f t="shared" si="389"/>
        <v>0</v>
      </c>
      <c r="EO24" s="19"/>
      <c r="EP24" s="19"/>
      <c r="EQ24" s="19"/>
      <c r="ER24" s="19"/>
      <c r="ES24" s="19"/>
      <c r="ET24" s="19"/>
      <c r="EU24" s="19"/>
      <c r="EV24" s="19"/>
      <c r="EW24" s="19"/>
      <c r="EX24" s="19"/>
      <c r="EY24" s="19"/>
      <c r="EZ24" s="19"/>
      <c r="FA24" s="21">
        <f t="shared" si="390"/>
        <v>0</v>
      </c>
    </row>
    <row r="25" spans="2:157" x14ac:dyDescent="0.3">
      <c r="C25" s="18" t="s">
        <v>39</v>
      </c>
      <c r="E25" s="19"/>
      <c r="F25" s="19"/>
      <c r="G25" s="19"/>
      <c r="H25" s="19"/>
      <c r="I25" s="19"/>
      <c r="J25" s="19"/>
      <c r="K25" s="19"/>
      <c r="L25" s="19"/>
      <c r="M25" s="19"/>
      <c r="N25" s="19"/>
      <c r="O25" s="19"/>
      <c r="P25" s="19"/>
      <c r="Q25" s="21">
        <f t="shared" si="391"/>
        <v>0</v>
      </c>
      <c r="S25" s="19"/>
      <c r="T25" s="19"/>
      <c r="U25" s="19"/>
      <c r="V25" s="19"/>
      <c r="W25" s="19"/>
      <c r="X25" s="19"/>
      <c r="Y25" s="19"/>
      <c r="Z25" s="19"/>
      <c r="AA25" s="19"/>
      <c r="AB25" s="19"/>
      <c r="AC25" s="19"/>
      <c r="AD25" s="19"/>
      <c r="AE25" s="21">
        <f t="shared" si="392"/>
        <v>0</v>
      </c>
      <c r="AG25" s="19"/>
      <c r="AH25" s="19"/>
      <c r="AI25" s="19"/>
      <c r="AJ25" s="19"/>
      <c r="AK25" s="19"/>
      <c r="AL25" s="19"/>
      <c r="AM25" s="19"/>
      <c r="AN25" s="19"/>
      <c r="AO25" s="19"/>
      <c r="AP25" s="19"/>
      <c r="AQ25" s="19"/>
      <c r="AR25" s="19"/>
      <c r="AS25" s="21">
        <f t="shared" si="382"/>
        <v>0</v>
      </c>
      <c r="AU25" s="19"/>
      <c r="AV25" s="19"/>
      <c r="AW25" s="19"/>
      <c r="AX25" s="19"/>
      <c r="AY25" s="19"/>
      <c r="AZ25" s="19"/>
      <c r="BA25" s="19"/>
      <c r="BB25" s="19"/>
      <c r="BC25" s="19"/>
      <c r="BD25" s="19"/>
      <c r="BE25" s="19"/>
      <c r="BF25" s="19"/>
      <c r="BG25" s="21">
        <f t="shared" si="383"/>
        <v>0</v>
      </c>
      <c r="BI25" s="19"/>
      <c r="BJ25" s="19"/>
      <c r="BK25" s="19"/>
      <c r="BL25" s="19"/>
      <c r="BM25" s="19"/>
      <c r="BN25" s="19"/>
      <c r="BO25" s="19"/>
      <c r="BP25" s="19"/>
      <c r="BQ25" s="19"/>
      <c r="BR25" s="19"/>
      <c r="BS25" s="19"/>
      <c r="BT25" s="19"/>
      <c r="BU25" s="21">
        <f t="shared" si="384"/>
        <v>0</v>
      </c>
      <c r="BW25" s="19"/>
      <c r="BX25" s="19"/>
      <c r="BY25" s="19"/>
      <c r="BZ25" s="19"/>
      <c r="CA25" s="19"/>
      <c r="CB25" s="19"/>
      <c r="CC25" s="19"/>
      <c r="CD25" s="19"/>
      <c r="CE25" s="19"/>
      <c r="CF25" s="19"/>
      <c r="CG25" s="19"/>
      <c r="CH25" s="19"/>
      <c r="CI25" s="21">
        <f t="shared" si="385"/>
        <v>0</v>
      </c>
      <c r="CK25" s="19"/>
      <c r="CL25" s="19"/>
      <c r="CM25" s="19"/>
      <c r="CN25" s="19"/>
      <c r="CO25" s="19"/>
      <c r="CP25" s="19"/>
      <c r="CQ25" s="19"/>
      <c r="CR25" s="19"/>
      <c r="CS25" s="19"/>
      <c r="CT25" s="19"/>
      <c r="CU25" s="19"/>
      <c r="CV25" s="19"/>
      <c r="CW25" s="21">
        <f t="shared" si="386"/>
        <v>0</v>
      </c>
      <c r="CY25" s="19"/>
      <c r="CZ25" s="19"/>
      <c r="DA25" s="19"/>
      <c r="DB25" s="19"/>
      <c r="DC25" s="19"/>
      <c r="DD25" s="19"/>
      <c r="DE25" s="19"/>
      <c r="DF25" s="19"/>
      <c r="DG25" s="19"/>
      <c r="DH25" s="19"/>
      <c r="DI25" s="19"/>
      <c r="DJ25" s="19"/>
      <c r="DK25" s="21">
        <f t="shared" si="387"/>
        <v>0</v>
      </c>
      <c r="DM25" s="19"/>
      <c r="DN25" s="19"/>
      <c r="DO25" s="19"/>
      <c r="DP25" s="19"/>
      <c r="DQ25" s="19"/>
      <c r="DR25" s="19"/>
      <c r="DS25" s="19"/>
      <c r="DT25" s="19"/>
      <c r="DU25" s="19"/>
      <c r="DV25" s="19"/>
      <c r="DW25" s="19"/>
      <c r="DX25" s="19"/>
      <c r="DY25" s="21">
        <f t="shared" si="388"/>
        <v>0</v>
      </c>
      <c r="EA25" s="19"/>
      <c r="EB25" s="19"/>
      <c r="EC25" s="19"/>
      <c r="ED25" s="19"/>
      <c r="EE25" s="19"/>
      <c r="EF25" s="19"/>
      <c r="EG25" s="19"/>
      <c r="EH25" s="19"/>
      <c r="EI25" s="19"/>
      <c r="EJ25" s="19"/>
      <c r="EK25" s="19"/>
      <c r="EL25" s="19"/>
      <c r="EM25" s="21">
        <f t="shared" si="389"/>
        <v>0</v>
      </c>
      <c r="EO25" s="19"/>
      <c r="EP25" s="19"/>
      <c r="EQ25" s="19"/>
      <c r="ER25" s="19"/>
      <c r="ES25" s="19"/>
      <c r="ET25" s="19"/>
      <c r="EU25" s="19"/>
      <c r="EV25" s="19"/>
      <c r="EW25" s="19"/>
      <c r="EX25" s="19"/>
      <c r="EY25" s="19"/>
      <c r="EZ25" s="19"/>
      <c r="FA25" s="21">
        <f t="shared" si="390"/>
        <v>0</v>
      </c>
    </row>
    <row r="26" spans="2:157" x14ac:dyDescent="0.3">
      <c r="C26" s="18" t="s">
        <v>40</v>
      </c>
      <c r="E26" s="19"/>
      <c r="F26" s="19"/>
      <c r="G26" s="19"/>
      <c r="H26" s="19"/>
      <c r="I26" s="19"/>
      <c r="J26" s="19"/>
      <c r="K26" s="19"/>
      <c r="L26" s="19"/>
      <c r="M26" s="19"/>
      <c r="N26" s="19"/>
      <c r="O26" s="19"/>
      <c r="P26" s="19"/>
      <c r="Q26" s="21">
        <f t="shared" si="391"/>
        <v>0</v>
      </c>
      <c r="S26" s="19"/>
      <c r="T26" s="19"/>
      <c r="U26" s="19"/>
      <c r="V26" s="19"/>
      <c r="W26" s="19"/>
      <c r="X26" s="19"/>
      <c r="Y26" s="19"/>
      <c r="Z26" s="19"/>
      <c r="AA26" s="19"/>
      <c r="AB26" s="19"/>
      <c r="AC26" s="19"/>
      <c r="AD26" s="19"/>
      <c r="AE26" s="21">
        <f t="shared" si="392"/>
        <v>0</v>
      </c>
      <c r="AG26" s="19"/>
      <c r="AH26" s="19"/>
      <c r="AI26" s="19"/>
      <c r="AJ26" s="19"/>
      <c r="AK26" s="19"/>
      <c r="AL26" s="19"/>
      <c r="AM26" s="19"/>
      <c r="AN26" s="19"/>
      <c r="AO26" s="19"/>
      <c r="AP26" s="19"/>
      <c r="AQ26" s="19"/>
      <c r="AR26" s="19"/>
      <c r="AS26" s="21">
        <f t="shared" si="382"/>
        <v>0</v>
      </c>
      <c r="AU26" s="19"/>
      <c r="AV26" s="19"/>
      <c r="AW26" s="19"/>
      <c r="AX26" s="19"/>
      <c r="AY26" s="19"/>
      <c r="AZ26" s="19"/>
      <c r="BA26" s="19"/>
      <c r="BB26" s="19"/>
      <c r="BC26" s="19"/>
      <c r="BD26" s="19"/>
      <c r="BE26" s="19"/>
      <c r="BF26" s="19"/>
      <c r="BG26" s="21">
        <f t="shared" si="383"/>
        <v>0</v>
      </c>
      <c r="BI26" s="19"/>
      <c r="BJ26" s="19"/>
      <c r="BK26" s="19"/>
      <c r="BL26" s="19"/>
      <c r="BM26" s="19"/>
      <c r="BN26" s="19"/>
      <c r="BO26" s="19"/>
      <c r="BP26" s="19"/>
      <c r="BQ26" s="19"/>
      <c r="BR26" s="19"/>
      <c r="BS26" s="19"/>
      <c r="BT26" s="19"/>
      <c r="BU26" s="21">
        <f t="shared" si="384"/>
        <v>0</v>
      </c>
      <c r="BW26" s="19"/>
      <c r="BX26" s="19"/>
      <c r="BY26" s="19"/>
      <c r="BZ26" s="19"/>
      <c r="CA26" s="19"/>
      <c r="CB26" s="19"/>
      <c r="CC26" s="19"/>
      <c r="CD26" s="19"/>
      <c r="CE26" s="19"/>
      <c r="CF26" s="19"/>
      <c r="CG26" s="19"/>
      <c r="CH26" s="19"/>
      <c r="CI26" s="21">
        <f t="shared" si="385"/>
        <v>0</v>
      </c>
      <c r="CK26" s="19"/>
      <c r="CL26" s="19"/>
      <c r="CM26" s="19"/>
      <c r="CN26" s="19"/>
      <c r="CO26" s="19"/>
      <c r="CP26" s="19"/>
      <c r="CQ26" s="19"/>
      <c r="CR26" s="19"/>
      <c r="CS26" s="19"/>
      <c r="CT26" s="19"/>
      <c r="CU26" s="19"/>
      <c r="CV26" s="19"/>
      <c r="CW26" s="21">
        <f t="shared" si="386"/>
        <v>0</v>
      </c>
      <c r="CY26" s="19"/>
      <c r="CZ26" s="19"/>
      <c r="DA26" s="19"/>
      <c r="DB26" s="19"/>
      <c r="DC26" s="19"/>
      <c r="DD26" s="19"/>
      <c r="DE26" s="19"/>
      <c r="DF26" s="19"/>
      <c r="DG26" s="19"/>
      <c r="DH26" s="19"/>
      <c r="DI26" s="19"/>
      <c r="DJ26" s="19"/>
      <c r="DK26" s="21">
        <f t="shared" si="387"/>
        <v>0</v>
      </c>
      <c r="DM26" s="19"/>
      <c r="DN26" s="19"/>
      <c r="DO26" s="19"/>
      <c r="DP26" s="19"/>
      <c r="DQ26" s="19"/>
      <c r="DR26" s="19"/>
      <c r="DS26" s="19"/>
      <c r="DT26" s="19"/>
      <c r="DU26" s="19"/>
      <c r="DV26" s="19"/>
      <c r="DW26" s="19"/>
      <c r="DX26" s="19"/>
      <c r="DY26" s="21">
        <f t="shared" si="388"/>
        <v>0</v>
      </c>
      <c r="EA26" s="19"/>
      <c r="EB26" s="19"/>
      <c r="EC26" s="19"/>
      <c r="ED26" s="19"/>
      <c r="EE26" s="19"/>
      <c r="EF26" s="19"/>
      <c r="EG26" s="19"/>
      <c r="EH26" s="19"/>
      <c r="EI26" s="19"/>
      <c r="EJ26" s="19"/>
      <c r="EK26" s="19"/>
      <c r="EL26" s="19"/>
      <c r="EM26" s="21">
        <f t="shared" si="389"/>
        <v>0</v>
      </c>
      <c r="EO26" s="19"/>
      <c r="EP26" s="19"/>
      <c r="EQ26" s="19"/>
      <c r="ER26" s="19"/>
      <c r="ES26" s="19"/>
      <c r="ET26" s="19"/>
      <c r="EU26" s="19"/>
      <c r="EV26" s="19"/>
      <c r="EW26" s="19"/>
      <c r="EX26" s="19"/>
      <c r="EY26" s="19"/>
      <c r="EZ26" s="19"/>
      <c r="FA26" s="21">
        <f t="shared" si="390"/>
        <v>0</v>
      </c>
    </row>
    <row r="27" spans="2:157" hidden="1" x14ac:dyDescent="0.3">
      <c r="C27" s="18" t="s">
        <v>26</v>
      </c>
      <c r="E27" s="19"/>
      <c r="F27" s="19"/>
      <c r="G27" s="19"/>
      <c r="H27" s="19"/>
      <c r="I27" s="19"/>
      <c r="J27" s="19"/>
      <c r="K27" s="19"/>
      <c r="L27" s="19"/>
      <c r="M27" s="19"/>
      <c r="N27" s="19"/>
      <c r="O27" s="19"/>
      <c r="P27" s="19"/>
      <c r="Q27" s="21">
        <f t="shared" si="391"/>
        <v>0</v>
      </c>
      <c r="S27" s="19"/>
      <c r="T27" s="19"/>
      <c r="U27" s="19"/>
      <c r="V27" s="19"/>
      <c r="W27" s="19"/>
      <c r="X27" s="19"/>
      <c r="Y27" s="19"/>
      <c r="Z27" s="19"/>
      <c r="AA27" s="19"/>
      <c r="AB27" s="19"/>
      <c r="AC27" s="19"/>
      <c r="AD27" s="19"/>
      <c r="AE27" s="21">
        <f t="shared" si="392"/>
        <v>0</v>
      </c>
      <c r="AG27" s="19"/>
      <c r="AH27" s="19"/>
      <c r="AI27" s="19"/>
      <c r="AJ27" s="19"/>
      <c r="AK27" s="19"/>
      <c r="AL27" s="19"/>
      <c r="AM27" s="19"/>
      <c r="AN27" s="19"/>
      <c r="AO27" s="19"/>
      <c r="AP27" s="19"/>
      <c r="AQ27" s="19"/>
      <c r="AR27" s="19"/>
      <c r="AS27" s="21">
        <f t="shared" si="382"/>
        <v>0</v>
      </c>
      <c r="AU27" s="19"/>
      <c r="AV27" s="19"/>
      <c r="AW27" s="19"/>
      <c r="AX27" s="19"/>
      <c r="AY27" s="19"/>
      <c r="AZ27" s="19"/>
      <c r="BA27" s="19"/>
      <c r="BB27" s="19"/>
      <c r="BC27" s="19"/>
      <c r="BD27" s="19"/>
      <c r="BE27" s="19"/>
      <c r="BF27" s="19"/>
      <c r="BG27" s="21">
        <f t="shared" si="383"/>
        <v>0</v>
      </c>
      <c r="BI27" s="19"/>
      <c r="BJ27" s="19"/>
      <c r="BK27" s="19"/>
      <c r="BL27" s="19"/>
      <c r="BM27" s="19"/>
      <c r="BN27" s="19"/>
      <c r="BO27" s="19"/>
      <c r="BP27" s="19"/>
      <c r="BQ27" s="19"/>
      <c r="BR27" s="19"/>
      <c r="BS27" s="19"/>
      <c r="BT27" s="19"/>
      <c r="BU27" s="21">
        <f t="shared" si="384"/>
        <v>0</v>
      </c>
      <c r="BW27" s="19"/>
      <c r="BX27" s="19"/>
      <c r="BY27" s="19"/>
      <c r="BZ27" s="19"/>
      <c r="CA27" s="19"/>
      <c r="CB27" s="19"/>
      <c r="CC27" s="19"/>
      <c r="CD27" s="19"/>
      <c r="CE27" s="19"/>
      <c r="CF27" s="19"/>
      <c r="CG27" s="19"/>
      <c r="CH27" s="19"/>
      <c r="CI27" s="21">
        <f t="shared" si="385"/>
        <v>0</v>
      </c>
      <c r="CK27" s="19"/>
      <c r="CL27" s="19"/>
      <c r="CM27" s="19"/>
      <c r="CN27" s="19"/>
      <c r="CO27" s="19"/>
      <c r="CP27" s="19"/>
      <c r="CQ27" s="19"/>
      <c r="CR27" s="19"/>
      <c r="CS27" s="19"/>
      <c r="CT27" s="19"/>
      <c r="CU27" s="19"/>
      <c r="CV27" s="19"/>
      <c r="CW27" s="21">
        <f t="shared" si="386"/>
        <v>0</v>
      </c>
      <c r="CY27" s="19"/>
      <c r="CZ27" s="19"/>
      <c r="DA27" s="19"/>
      <c r="DB27" s="19"/>
      <c r="DC27" s="19"/>
      <c r="DD27" s="19"/>
      <c r="DE27" s="19"/>
      <c r="DF27" s="19"/>
      <c r="DG27" s="19"/>
      <c r="DH27" s="19"/>
      <c r="DI27" s="19"/>
      <c r="DJ27" s="19"/>
      <c r="DK27" s="21">
        <f t="shared" si="387"/>
        <v>0</v>
      </c>
      <c r="DM27" s="19"/>
      <c r="DN27" s="19"/>
      <c r="DO27" s="19"/>
      <c r="DP27" s="19"/>
      <c r="DQ27" s="19"/>
      <c r="DR27" s="19"/>
      <c r="DS27" s="19"/>
      <c r="DT27" s="19"/>
      <c r="DU27" s="19"/>
      <c r="DV27" s="19"/>
      <c r="DW27" s="19"/>
      <c r="DX27" s="19"/>
      <c r="DY27" s="21">
        <f t="shared" si="388"/>
        <v>0</v>
      </c>
      <c r="EA27" s="19"/>
      <c r="EB27" s="19"/>
      <c r="EC27" s="19"/>
      <c r="ED27" s="19"/>
      <c r="EE27" s="19"/>
      <c r="EF27" s="19"/>
      <c r="EG27" s="19"/>
      <c r="EH27" s="19"/>
      <c r="EI27" s="19"/>
      <c r="EJ27" s="19"/>
      <c r="EK27" s="19"/>
      <c r="EL27" s="19"/>
      <c r="EM27" s="21">
        <f t="shared" si="389"/>
        <v>0</v>
      </c>
      <c r="EO27" s="19"/>
      <c r="EP27" s="19"/>
      <c r="EQ27" s="19"/>
      <c r="ER27" s="19"/>
      <c r="ES27" s="19"/>
      <c r="ET27" s="19"/>
      <c r="EU27" s="19"/>
      <c r="EV27" s="19"/>
      <c r="EW27" s="19"/>
      <c r="EX27" s="19"/>
      <c r="EY27" s="19"/>
      <c r="EZ27" s="19"/>
      <c r="FA27" s="21">
        <f t="shared" si="390"/>
        <v>0</v>
      </c>
    </row>
    <row r="28" spans="2:157" hidden="1" x14ac:dyDescent="0.3">
      <c r="C28" s="18" t="s">
        <v>26</v>
      </c>
      <c r="E28" s="19"/>
      <c r="F28" s="19"/>
      <c r="G28" s="19"/>
      <c r="H28" s="19"/>
      <c r="I28" s="19"/>
      <c r="J28" s="19"/>
      <c r="K28" s="19"/>
      <c r="L28" s="19"/>
      <c r="M28" s="19"/>
      <c r="N28" s="19"/>
      <c r="O28" s="19"/>
      <c r="P28" s="19"/>
      <c r="Q28" s="21">
        <f t="shared" si="391"/>
        <v>0</v>
      </c>
      <c r="S28" s="19"/>
      <c r="T28" s="19"/>
      <c r="U28" s="19"/>
      <c r="V28" s="19"/>
      <c r="W28" s="19"/>
      <c r="X28" s="19"/>
      <c r="Y28" s="19"/>
      <c r="Z28" s="19"/>
      <c r="AA28" s="19"/>
      <c r="AB28" s="19"/>
      <c r="AC28" s="19"/>
      <c r="AD28" s="19"/>
      <c r="AE28" s="21">
        <f t="shared" si="392"/>
        <v>0</v>
      </c>
      <c r="AG28" s="19"/>
      <c r="AH28" s="19"/>
      <c r="AI28" s="19"/>
      <c r="AJ28" s="19"/>
      <c r="AK28" s="19"/>
      <c r="AL28" s="19"/>
      <c r="AM28" s="19"/>
      <c r="AN28" s="19"/>
      <c r="AO28" s="19"/>
      <c r="AP28" s="19"/>
      <c r="AQ28" s="19"/>
      <c r="AR28" s="19"/>
      <c r="AS28" s="21">
        <f t="shared" si="382"/>
        <v>0</v>
      </c>
      <c r="AU28" s="19"/>
      <c r="AV28" s="19"/>
      <c r="AW28" s="19"/>
      <c r="AX28" s="19"/>
      <c r="AY28" s="19"/>
      <c r="AZ28" s="19"/>
      <c r="BA28" s="19"/>
      <c r="BB28" s="19"/>
      <c r="BC28" s="19"/>
      <c r="BD28" s="19"/>
      <c r="BE28" s="19"/>
      <c r="BF28" s="19"/>
      <c r="BG28" s="21">
        <f t="shared" si="383"/>
        <v>0</v>
      </c>
      <c r="BI28" s="19"/>
      <c r="BJ28" s="19"/>
      <c r="BK28" s="19"/>
      <c r="BL28" s="19"/>
      <c r="BM28" s="19"/>
      <c r="BN28" s="19"/>
      <c r="BO28" s="19"/>
      <c r="BP28" s="19"/>
      <c r="BQ28" s="19"/>
      <c r="BR28" s="19"/>
      <c r="BS28" s="19"/>
      <c r="BT28" s="19"/>
      <c r="BU28" s="21">
        <f t="shared" si="384"/>
        <v>0</v>
      </c>
      <c r="BW28" s="19"/>
      <c r="BX28" s="19"/>
      <c r="BY28" s="19"/>
      <c r="BZ28" s="19"/>
      <c r="CA28" s="19"/>
      <c r="CB28" s="19"/>
      <c r="CC28" s="19"/>
      <c r="CD28" s="19"/>
      <c r="CE28" s="19"/>
      <c r="CF28" s="19"/>
      <c r="CG28" s="19"/>
      <c r="CH28" s="19"/>
      <c r="CI28" s="21">
        <f t="shared" si="385"/>
        <v>0</v>
      </c>
      <c r="CK28" s="19"/>
      <c r="CL28" s="19"/>
      <c r="CM28" s="19"/>
      <c r="CN28" s="19"/>
      <c r="CO28" s="19"/>
      <c r="CP28" s="19"/>
      <c r="CQ28" s="19"/>
      <c r="CR28" s="19"/>
      <c r="CS28" s="19"/>
      <c r="CT28" s="19"/>
      <c r="CU28" s="19"/>
      <c r="CV28" s="19"/>
      <c r="CW28" s="21">
        <f t="shared" si="386"/>
        <v>0</v>
      </c>
      <c r="CY28" s="19"/>
      <c r="CZ28" s="19"/>
      <c r="DA28" s="19"/>
      <c r="DB28" s="19"/>
      <c r="DC28" s="19"/>
      <c r="DD28" s="19"/>
      <c r="DE28" s="19"/>
      <c r="DF28" s="19"/>
      <c r="DG28" s="19"/>
      <c r="DH28" s="19"/>
      <c r="DI28" s="19"/>
      <c r="DJ28" s="19"/>
      <c r="DK28" s="21">
        <f t="shared" si="387"/>
        <v>0</v>
      </c>
      <c r="DM28" s="19"/>
      <c r="DN28" s="19"/>
      <c r="DO28" s="19"/>
      <c r="DP28" s="19"/>
      <c r="DQ28" s="19"/>
      <c r="DR28" s="19"/>
      <c r="DS28" s="19"/>
      <c r="DT28" s="19"/>
      <c r="DU28" s="19"/>
      <c r="DV28" s="19"/>
      <c r="DW28" s="19"/>
      <c r="DX28" s="19"/>
      <c r="DY28" s="21">
        <f t="shared" si="388"/>
        <v>0</v>
      </c>
      <c r="EA28" s="19"/>
      <c r="EB28" s="19"/>
      <c r="EC28" s="19"/>
      <c r="ED28" s="19"/>
      <c r="EE28" s="19"/>
      <c r="EF28" s="19"/>
      <c r="EG28" s="19"/>
      <c r="EH28" s="19"/>
      <c r="EI28" s="19"/>
      <c r="EJ28" s="19"/>
      <c r="EK28" s="19"/>
      <c r="EL28" s="19"/>
      <c r="EM28" s="21">
        <f t="shared" si="389"/>
        <v>0</v>
      </c>
      <c r="EO28" s="19"/>
      <c r="EP28" s="19"/>
      <c r="EQ28" s="19"/>
      <c r="ER28" s="19"/>
      <c r="ES28" s="19"/>
      <c r="ET28" s="19"/>
      <c r="EU28" s="19"/>
      <c r="EV28" s="19"/>
      <c r="EW28" s="19"/>
      <c r="EX28" s="19"/>
      <c r="EY28" s="19"/>
      <c r="EZ28" s="19"/>
      <c r="FA28" s="21">
        <f t="shared" si="390"/>
        <v>0</v>
      </c>
    </row>
    <row r="29" spans="2:157" hidden="1" x14ac:dyDescent="0.3">
      <c r="C29" s="18" t="s">
        <v>26</v>
      </c>
      <c r="E29" s="19"/>
      <c r="F29" s="19"/>
      <c r="G29" s="19"/>
      <c r="H29" s="19"/>
      <c r="I29" s="19"/>
      <c r="J29" s="19"/>
      <c r="K29" s="19"/>
      <c r="L29" s="19"/>
      <c r="M29" s="19"/>
      <c r="N29" s="19"/>
      <c r="O29" s="19"/>
      <c r="P29" s="19"/>
      <c r="Q29" s="21">
        <f t="shared" si="391"/>
        <v>0</v>
      </c>
      <c r="S29" s="19"/>
      <c r="T29" s="19"/>
      <c r="U29" s="19"/>
      <c r="V29" s="19"/>
      <c r="W29" s="19"/>
      <c r="X29" s="19"/>
      <c r="Y29" s="19"/>
      <c r="Z29" s="19"/>
      <c r="AA29" s="19"/>
      <c r="AB29" s="19"/>
      <c r="AC29" s="19"/>
      <c r="AD29" s="19"/>
      <c r="AE29" s="21">
        <f t="shared" si="392"/>
        <v>0</v>
      </c>
      <c r="AG29" s="19"/>
      <c r="AH29" s="19"/>
      <c r="AI29" s="19"/>
      <c r="AJ29" s="19"/>
      <c r="AK29" s="19"/>
      <c r="AL29" s="19"/>
      <c r="AM29" s="19"/>
      <c r="AN29" s="19"/>
      <c r="AO29" s="19"/>
      <c r="AP29" s="19"/>
      <c r="AQ29" s="19"/>
      <c r="AR29" s="19"/>
      <c r="AS29" s="21">
        <f t="shared" si="382"/>
        <v>0</v>
      </c>
      <c r="AU29" s="19"/>
      <c r="AV29" s="19"/>
      <c r="AW29" s="19"/>
      <c r="AX29" s="19"/>
      <c r="AY29" s="19"/>
      <c r="AZ29" s="19"/>
      <c r="BA29" s="19"/>
      <c r="BB29" s="19"/>
      <c r="BC29" s="19"/>
      <c r="BD29" s="19"/>
      <c r="BE29" s="19"/>
      <c r="BF29" s="19"/>
      <c r="BG29" s="21">
        <f t="shared" si="383"/>
        <v>0</v>
      </c>
      <c r="BI29" s="19"/>
      <c r="BJ29" s="19"/>
      <c r="BK29" s="19"/>
      <c r="BL29" s="19"/>
      <c r="BM29" s="19"/>
      <c r="BN29" s="19"/>
      <c r="BO29" s="19"/>
      <c r="BP29" s="19"/>
      <c r="BQ29" s="19"/>
      <c r="BR29" s="19"/>
      <c r="BS29" s="19"/>
      <c r="BT29" s="19"/>
      <c r="BU29" s="21">
        <f t="shared" si="384"/>
        <v>0</v>
      </c>
      <c r="BW29" s="19"/>
      <c r="BX29" s="19"/>
      <c r="BY29" s="19"/>
      <c r="BZ29" s="19"/>
      <c r="CA29" s="19"/>
      <c r="CB29" s="19"/>
      <c r="CC29" s="19"/>
      <c r="CD29" s="19"/>
      <c r="CE29" s="19"/>
      <c r="CF29" s="19"/>
      <c r="CG29" s="19"/>
      <c r="CH29" s="19"/>
      <c r="CI29" s="21">
        <f t="shared" si="385"/>
        <v>0</v>
      </c>
      <c r="CK29" s="19"/>
      <c r="CL29" s="19"/>
      <c r="CM29" s="19"/>
      <c r="CN29" s="19"/>
      <c r="CO29" s="19"/>
      <c r="CP29" s="19"/>
      <c r="CQ29" s="19"/>
      <c r="CR29" s="19"/>
      <c r="CS29" s="19"/>
      <c r="CT29" s="19"/>
      <c r="CU29" s="19"/>
      <c r="CV29" s="19"/>
      <c r="CW29" s="21">
        <f t="shared" si="386"/>
        <v>0</v>
      </c>
      <c r="CY29" s="19"/>
      <c r="CZ29" s="19"/>
      <c r="DA29" s="19"/>
      <c r="DB29" s="19"/>
      <c r="DC29" s="19"/>
      <c r="DD29" s="19"/>
      <c r="DE29" s="19"/>
      <c r="DF29" s="19"/>
      <c r="DG29" s="19"/>
      <c r="DH29" s="19"/>
      <c r="DI29" s="19"/>
      <c r="DJ29" s="19"/>
      <c r="DK29" s="21">
        <f t="shared" si="387"/>
        <v>0</v>
      </c>
      <c r="DM29" s="19"/>
      <c r="DN29" s="19"/>
      <c r="DO29" s="19"/>
      <c r="DP29" s="19"/>
      <c r="DQ29" s="19"/>
      <c r="DR29" s="19"/>
      <c r="DS29" s="19"/>
      <c r="DT29" s="19"/>
      <c r="DU29" s="19"/>
      <c r="DV29" s="19"/>
      <c r="DW29" s="19"/>
      <c r="DX29" s="19"/>
      <c r="DY29" s="21">
        <f t="shared" si="388"/>
        <v>0</v>
      </c>
      <c r="EA29" s="19"/>
      <c r="EB29" s="19"/>
      <c r="EC29" s="19"/>
      <c r="ED29" s="19"/>
      <c r="EE29" s="19"/>
      <c r="EF29" s="19"/>
      <c r="EG29" s="19"/>
      <c r="EH29" s="19"/>
      <c r="EI29" s="19"/>
      <c r="EJ29" s="19"/>
      <c r="EK29" s="19"/>
      <c r="EL29" s="19"/>
      <c r="EM29" s="21">
        <f t="shared" si="389"/>
        <v>0</v>
      </c>
      <c r="EO29" s="19"/>
      <c r="EP29" s="19"/>
      <c r="EQ29" s="19"/>
      <c r="ER29" s="19"/>
      <c r="ES29" s="19"/>
      <c r="ET29" s="19"/>
      <c r="EU29" s="19"/>
      <c r="EV29" s="19"/>
      <c r="EW29" s="19"/>
      <c r="EX29" s="19"/>
      <c r="EY29" s="19"/>
      <c r="EZ29" s="19"/>
      <c r="FA29" s="21">
        <f t="shared" si="390"/>
        <v>0</v>
      </c>
    </row>
    <row r="30" spans="2:157" hidden="1" x14ac:dyDescent="0.3">
      <c r="C30" s="18" t="s">
        <v>26</v>
      </c>
      <c r="E30" s="19"/>
      <c r="F30" s="19"/>
      <c r="G30" s="19"/>
      <c r="H30" s="19"/>
      <c r="I30" s="19"/>
      <c r="J30" s="19"/>
      <c r="K30" s="19"/>
      <c r="L30" s="19"/>
      <c r="M30" s="19"/>
      <c r="N30" s="19"/>
      <c r="O30" s="19"/>
      <c r="P30" s="19"/>
      <c r="Q30" s="21">
        <f t="shared" si="391"/>
        <v>0</v>
      </c>
      <c r="S30" s="19"/>
      <c r="T30" s="19"/>
      <c r="U30" s="19"/>
      <c r="V30" s="19"/>
      <c r="W30" s="19"/>
      <c r="X30" s="19"/>
      <c r="Y30" s="19"/>
      <c r="Z30" s="19"/>
      <c r="AA30" s="19"/>
      <c r="AB30" s="19"/>
      <c r="AC30" s="19"/>
      <c r="AD30" s="19"/>
      <c r="AE30" s="21">
        <f t="shared" si="392"/>
        <v>0</v>
      </c>
      <c r="AG30" s="19"/>
      <c r="AH30" s="19"/>
      <c r="AI30" s="19"/>
      <c r="AJ30" s="19"/>
      <c r="AK30" s="19"/>
      <c r="AL30" s="19"/>
      <c r="AM30" s="19"/>
      <c r="AN30" s="19"/>
      <c r="AO30" s="19"/>
      <c r="AP30" s="19"/>
      <c r="AQ30" s="19"/>
      <c r="AR30" s="19"/>
      <c r="AS30" s="21">
        <f t="shared" si="382"/>
        <v>0</v>
      </c>
      <c r="AU30" s="19"/>
      <c r="AV30" s="19"/>
      <c r="AW30" s="19"/>
      <c r="AX30" s="19"/>
      <c r="AY30" s="19"/>
      <c r="AZ30" s="19"/>
      <c r="BA30" s="19"/>
      <c r="BB30" s="19"/>
      <c r="BC30" s="19"/>
      <c r="BD30" s="19"/>
      <c r="BE30" s="19"/>
      <c r="BF30" s="19"/>
      <c r="BG30" s="21">
        <f t="shared" si="383"/>
        <v>0</v>
      </c>
      <c r="BI30" s="19"/>
      <c r="BJ30" s="19"/>
      <c r="BK30" s="19"/>
      <c r="BL30" s="19"/>
      <c r="BM30" s="19"/>
      <c r="BN30" s="19"/>
      <c r="BO30" s="19"/>
      <c r="BP30" s="19"/>
      <c r="BQ30" s="19"/>
      <c r="BR30" s="19"/>
      <c r="BS30" s="19"/>
      <c r="BT30" s="19"/>
      <c r="BU30" s="21">
        <f t="shared" si="384"/>
        <v>0</v>
      </c>
      <c r="BW30" s="19"/>
      <c r="BX30" s="19"/>
      <c r="BY30" s="19"/>
      <c r="BZ30" s="19"/>
      <c r="CA30" s="19"/>
      <c r="CB30" s="19"/>
      <c r="CC30" s="19"/>
      <c r="CD30" s="19"/>
      <c r="CE30" s="19"/>
      <c r="CF30" s="19"/>
      <c r="CG30" s="19"/>
      <c r="CH30" s="19"/>
      <c r="CI30" s="21">
        <f t="shared" si="385"/>
        <v>0</v>
      </c>
      <c r="CK30" s="19"/>
      <c r="CL30" s="19"/>
      <c r="CM30" s="19"/>
      <c r="CN30" s="19"/>
      <c r="CO30" s="19"/>
      <c r="CP30" s="19"/>
      <c r="CQ30" s="19"/>
      <c r="CR30" s="19"/>
      <c r="CS30" s="19"/>
      <c r="CT30" s="19"/>
      <c r="CU30" s="19"/>
      <c r="CV30" s="19"/>
      <c r="CW30" s="21">
        <f t="shared" si="386"/>
        <v>0</v>
      </c>
      <c r="CY30" s="19"/>
      <c r="CZ30" s="19"/>
      <c r="DA30" s="19"/>
      <c r="DB30" s="19"/>
      <c r="DC30" s="19"/>
      <c r="DD30" s="19"/>
      <c r="DE30" s="19"/>
      <c r="DF30" s="19"/>
      <c r="DG30" s="19"/>
      <c r="DH30" s="19"/>
      <c r="DI30" s="19"/>
      <c r="DJ30" s="19"/>
      <c r="DK30" s="21">
        <f t="shared" si="387"/>
        <v>0</v>
      </c>
      <c r="DM30" s="19"/>
      <c r="DN30" s="19"/>
      <c r="DO30" s="19"/>
      <c r="DP30" s="19"/>
      <c r="DQ30" s="19"/>
      <c r="DR30" s="19"/>
      <c r="DS30" s="19"/>
      <c r="DT30" s="19"/>
      <c r="DU30" s="19"/>
      <c r="DV30" s="19"/>
      <c r="DW30" s="19"/>
      <c r="DX30" s="19"/>
      <c r="DY30" s="21">
        <f t="shared" si="388"/>
        <v>0</v>
      </c>
      <c r="EA30" s="19"/>
      <c r="EB30" s="19"/>
      <c r="EC30" s="19"/>
      <c r="ED30" s="19"/>
      <c r="EE30" s="19"/>
      <c r="EF30" s="19"/>
      <c r="EG30" s="19"/>
      <c r="EH30" s="19"/>
      <c r="EI30" s="19"/>
      <c r="EJ30" s="19"/>
      <c r="EK30" s="19"/>
      <c r="EL30" s="19"/>
      <c r="EM30" s="21">
        <f t="shared" si="389"/>
        <v>0</v>
      </c>
      <c r="EO30" s="19"/>
      <c r="EP30" s="19"/>
      <c r="EQ30" s="19"/>
      <c r="ER30" s="19"/>
      <c r="ES30" s="19"/>
      <c r="ET30" s="19"/>
      <c r="EU30" s="19"/>
      <c r="EV30" s="19"/>
      <c r="EW30" s="19"/>
      <c r="EX30" s="19"/>
      <c r="EY30" s="19"/>
      <c r="EZ30" s="19"/>
      <c r="FA30" s="21">
        <f t="shared" si="390"/>
        <v>0</v>
      </c>
    </row>
    <row r="31" spans="2:157" hidden="1" x14ac:dyDescent="0.3">
      <c r="C31" s="18" t="s">
        <v>26</v>
      </c>
      <c r="E31" s="19"/>
      <c r="F31" s="19"/>
      <c r="G31" s="19"/>
      <c r="H31" s="19"/>
      <c r="I31" s="19"/>
      <c r="J31" s="19"/>
      <c r="K31" s="19"/>
      <c r="L31" s="19"/>
      <c r="M31" s="19"/>
      <c r="N31" s="19"/>
      <c r="O31" s="19"/>
      <c r="P31" s="19"/>
      <c r="Q31" s="21">
        <f t="shared" si="391"/>
        <v>0</v>
      </c>
      <c r="S31" s="19"/>
      <c r="T31" s="19"/>
      <c r="U31" s="19"/>
      <c r="V31" s="19"/>
      <c r="W31" s="19"/>
      <c r="X31" s="19"/>
      <c r="Y31" s="19"/>
      <c r="Z31" s="19"/>
      <c r="AA31" s="19"/>
      <c r="AB31" s="19"/>
      <c r="AC31" s="19"/>
      <c r="AD31" s="19"/>
      <c r="AE31" s="21">
        <f t="shared" si="392"/>
        <v>0</v>
      </c>
      <c r="AG31" s="19"/>
      <c r="AH31" s="19"/>
      <c r="AI31" s="19"/>
      <c r="AJ31" s="19"/>
      <c r="AK31" s="19"/>
      <c r="AL31" s="19"/>
      <c r="AM31" s="19"/>
      <c r="AN31" s="19"/>
      <c r="AO31" s="19"/>
      <c r="AP31" s="19"/>
      <c r="AQ31" s="19"/>
      <c r="AR31" s="19"/>
      <c r="AS31" s="21">
        <f t="shared" si="382"/>
        <v>0</v>
      </c>
      <c r="AU31" s="19"/>
      <c r="AV31" s="19"/>
      <c r="AW31" s="19"/>
      <c r="AX31" s="19"/>
      <c r="AY31" s="19"/>
      <c r="AZ31" s="19"/>
      <c r="BA31" s="19"/>
      <c r="BB31" s="19"/>
      <c r="BC31" s="19"/>
      <c r="BD31" s="19"/>
      <c r="BE31" s="19"/>
      <c r="BF31" s="19"/>
      <c r="BG31" s="21">
        <f t="shared" si="383"/>
        <v>0</v>
      </c>
      <c r="BI31" s="19"/>
      <c r="BJ31" s="19"/>
      <c r="BK31" s="19"/>
      <c r="BL31" s="19"/>
      <c r="BM31" s="19"/>
      <c r="BN31" s="19"/>
      <c r="BO31" s="19"/>
      <c r="BP31" s="19"/>
      <c r="BQ31" s="19"/>
      <c r="BR31" s="19"/>
      <c r="BS31" s="19"/>
      <c r="BT31" s="19"/>
      <c r="BU31" s="21">
        <f t="shared" si="384"/>
        <v>0</v>
      </c>
      <c r="BW31" s="19"/>
      <c r="BX31" s="19"/>
      <c r="BY31" s="19"/>
      <c r="BZ31" s="19"/>
      <c r="CA31" s="19"/>
      <c r="CB31" s="19"/>
      <c r="CC31" s="19"/>
      <c r="CD31" s="19"/>
      <c r="CE31" s="19"/>
      <c r="CF31" s="19"/>
      <c r="CG31" s="19"/>
      <c r="CH31" s="19"/>
      <c r="CI31" s="21">
        <f t="shared" si="385"/>
        <v>0</v>
      </c>
      <c r="CK31" s="19"/>
      <c r="CL31" s="19"/>
      <c r="CM31" s="19"/>
      <c r="CN31" s="19"/>
      <c r="CO31" s="19"/>
      <c r="CP31" s="19"/>
      <c r="CQ31" s="19"/>
      <c r="CR31" s="19"/>
      <c r="CS31" s="19"/>
      <c r="CT31" s="19"/>
      <c r="CU31" s="19"/>
      <c r="CV31" s="19"/>
      <c r="CW31" s="21">
        <f t="shared" si="386"/>
        <v>0</v>
      </c>
      <c r="CY31" s="19"/>
      <c r="CZ31" s="19"/>
      <c r="DA31" s="19"/>
      <c r="DB31" s="19"/>
      <c r="DC31" s="19"/>
      <c r="DD31" s="19"/>
      <c r="DE31" s="19"/>
      <c r="DF31" s="19"/>
      <c r="DG31" s="19"/>
      <c r="DH31" s="19"/>
      <c r="DI31" s="19"/>
      <c r="DJ31" s="19"/>
      <c r="DK31" s="21">
        <f t="shared" si="387"/>
        <v>0</v>
      </c>
      <c r="DM31" s="19"/>
      <c r="DN31" s="19"/>
      <c r="DO31" s="19"/>
      <c r="DP31" s="19"/>
      <c r="DQ31" s="19"/>
      <c r="DR31" s="19"/>
      <c r="DS31" s="19"/>
      <c r="DT31" s="19"/>
      <c r="DU31" s="19"/>
      <c r="DV31" s="19"/>
      <c r="DW31" s="19"/>
      <c r="DX31" s="19"/>
      <c r="DY31" s="21">
        <f t="shared" si="388"/>
        <v>0</v>
      </c>
      <c r="EA31" s="19"/>
      <c r="EB31" s="19"/>
      <c r="EC31" s="19"/>
      <c r="ED31" s="19"/>
      <c r="EE31" s="19"/>
      <c r="EF31" s="19"/>
      <c r="EG31" s="19"/>
      <c r="EH31" s="19"/>
      <c r="EI31" s="19"/>
      <c r="EJ31" s="19"/>
      <c r="EK31" s="19"/>
      <c r="EL31" s="19"/>
      <c r="EM31" s="21">
        <f t="shared" si="389"/>
        <v>0</v>
      </c>
      <c r="EO31" s="19"/>
      <c r="EP31" s="19"/>
      <c r="EQ31" s="19"/>
      <c r="ER31" s="19"/>
      <c r="ES31" s="19"/>
      <c r="ET31" s="19"/>
      <c r="EU31" s="19"/>
      <c r="EV31" s="19"/>
      <c r="EW31" s="19"/>
      <c r="EX31" s="19"/>
      <c r="EY31" s="19"/>
      <c r="EZ31" s="19"/>
      <c r="FA31" s="21">
        <f t="shared" si="390"/>
        <v>0</v>
      </c>
    </row>
    <row r="32" spans="2:157" hidden="1" x14ac:dyDescent="0.3">
      <c r="C32" s="18" t="s">
        <v>26</v>
      </c>
      <c r="E32" s="19"/>
      <c r="F32" s="19"/>
      <c r="G32" s="19"/>
      <c r="H32" s="19"/>
      <c r="I32" s="19"/>
      <c r="J32" s="19"/>
      <c r="K32" s="19"/>
      <c r="L32" s="19"/>
      <c r="M32" s="19"/>
      <c r="N32" s="19"/>
      <c r="O32" s="19"/>
      <c r="P32" s="19"/>
      <c r="Q32" s="21">
        <f t="shared" si="391"/>
        <v>0</v>
      </c>
      <c r="S32" s="19"/>
      <c r="T32" s="19"/>
      <c r="U32" s="19"/>
      <c r="V32" s="19"/>
      <c r="W32" s="19"/>
      <c r="X32" s="19"/>
      <c r="Y32" s="19"/>
      <c r="Z32" s="19"/>
      <c r="AA32" s="19"/>
      <c r="AB32" s="19"/>
      <c r="AC32" s="19"/>
      <c r="AD32" s="19"/>
      <c r="AE32" s="21">
        <f t="shared" si="392"/>
        <v>0</v>
      </c>
      <c r="AG32" s="19"/>
      <c r="AH32" s="19"/>
      <c r="AI32" s="19"/>
      <c r="AJ32" s="19"/>
      <c r="AK32" s="19"/>
      <c r="AL32" s="19"/>
      <c r="AM32" s="19"/>
      <c r="AN32" s="19"/>
      <c r="AO32" s="19"/>
      <c r="AP32" s="19"/>
      <c r="AQ32" s="19"/>
      <c r="AR32" s="19"/>
      <c r="AS32" s="21">
        <f t="shared" si="382"/>
        <v>0</v>
      </c>
      <c r="AU32" s="19"/>
      <c r="AV32" s="19"/>
      <c r="AW32" s="19"/>
      <c r="AX32" s="19"/>
      <c r="AY32" s="19"/>
      <c r="AZ32" s="19"/>
      <c r="BA32" s="19"/>
      <c r="BB32" s="19"/>
      <c r="BC32" s="19"/>
      <c r="BD32" s="19"/>
      <c r="BE32" s="19"/>
      <c r="BF32" s="19"/>
      <c r="BG32" s="21">
        <f t="shared" si="383"/>
        <v>0</v>
      </c>
      <c r="BI32" s="19"/>
      <c r="BJ32" s="19"/>
      <c r="BK32" s="19"/>
      <c r="BL32" s="19"/>
      <c r="BM32" s="19"/>
      <c r="BN32" s="19"/>
      <c r="BO32" s="19"/>
      <c r="BP32" s="19"/>
      <c r="BQ32" s="19"/>
      <c r="BR32" s="19"/>
      <c r="BS32" s="19"/>
      <c r="BT32" s="19"/>
      <c r="BU32" s="21">
        <f t="shared" si="384"/>
        <v>0</v>
      </c>
      <c r="BW32" s="19"/>
      <c r="BX32" s="19"/>
      <c r="BY32" s="19"/>
      <c r="BZ32" s="19"/>
      <c r="CA32" s="19"/>
      <c r="CB32" s="19"/>
      <c r="CC32" s="19"/>
      <c r="CD32" s="19"/>
      <c r="CE32" s="19"/>
      <c r="CF32" s="19"/>
      <c r="CG32" s="19"/>
      <c r="CH32" s="19"/>
      <c r="CI32" s="21">
        <f t="shared" si="385"/>
        <v>0</v>
      </c>
      <c r="CK32" s="19"/>
      <c r="CL32" s="19"/>
      <c r="CM32" s="19"/>
      <c r="CN32" s="19"/>
      <c r="CO32" s="19"/>
      <c r="CP32" s="19"/>
      <c r="CQ32" s="19"/>
      <c r="CR32" s="19"/>
      <c r="CS32" s="19"/>
      <c r="CT32" s="19"/>
      <c r="CU32" s="19"/>
      <c r="CV32" s="19"/>
      <c r="CW32" s="21">
        <f t="shared" si="386"/>
        <v>0</v>
      </c>
      <c r="CY32" s="19"/>
      <c r="CZ32" s="19"/>
      <c r="DA32" s="19"/>
      <c r="DB32" s="19"/>
      <c r="DC32" s="19"/>
      <c r="DD32" s="19"/>
      <c r="DE32" s="19"/>
      <c r="DF32" s="19"/>
      <c r="DG32" s="19"/>
      <c r="DH32" s="19"/>
      <c r="DI32" s="19"/>
      <c r="DJ32" s="19"/>
      <c r="DK32" s="21">
        <f t="shared" si="387"/>
        <v>0</v>
      </c>
      <c r="DM32" s="19"/>
      <c r="DN32" s="19"/>
      <c r="DO32" s="19"/>
      <c r="DP32" s="19"/>
      <c r="DQ32" s="19"/>
      <c r="DR32" s="19"/>
      <c r="DS32" s="19"/>
      <c r="DT32" s="19"/>
      <c r="DU32" s="19"/>
      <c r="DV32" s="19"/>
      <c r="DW32" s="19"/>
      <c r="DX32" s="19"/>
      <c r="DY32" s="21">
        <f t="shared" si="388"/>
        <v>0</v>
      </c>
      <c r="EA32" s="19"/>
      <c r="EB32" s="19"/>
      <c r="EC32" s="19"/>
      <c r="ED32" s="19"/>
      <c r="EE32" s="19"/>
      <c r="EF32" s="19"/>
      <c r="EG32" s="19"/>
      <c r="EH32" s="19"/>
      <c r="EI32" s="19"/>
      <c r="EJ32" s="19"/>
      <c r="EK32" s="19"/>
      <c r="EL32" s="19"/>
      <c r="EM32" s="21">
        <f t="shared" si="389"/>
        <v>0</v>
      </c>
      <c r="EO32" s="19"/>
      <c r="EP32" s="19"/>
      <c r="EQ32" s="19"/>
      <c r="ER32" s="19"/>
      <c r="ES32" s="19"/>
      <c r="ET32" s="19"/>
      <c r="EU32" s="19"/>
      <c r="EV32" s="19"/>
      <c r="EW32" s="19"/>
      <c r="EX32" s="19"/>
      <c r="EY32" s="19"/>
      <c r="EZ32" s="19"/>
      <c r="FA32" s="21">
        <f t="shared" si="390"/>
        <v>0</v>
      </c>
    </row>
    <row r="33" spans="3:157" x14ac:dyDescent="0.3">
      <c r="C33" s="17" t="s">
        <v>19</v>
      </c>
      <c r="E33" s="20" cm="1">
        <f t="array" aca="1" ref="E33" ca="1">SUM(INDIRECT(ADDRESS(Fixkosten_Min_Row,COLUMN()) &amp; ":" &amp; ADDRESS(Fixkosten_Max_Row, COLUMN())))</f>
        <v>0</v>
      </c>
      <c r="F33" s="20" cm="1">
        <f t="array" aca="1" ref="F33" ca="1">SUM(INDIRECT(ADDRESS(Fixkosten_Min_Row,COLUMN()) &amp; ":" &amp; ADDRESS(Fixkosten_Max_Row, COLUMN())))</f>
        <v>0</v>
      </c>
      <c r="G33" s="20" cm="1">
        <f t="array" aca="1" ref="G33" ca="1">SUM(INDIRECT(ADDRESS(Fixkosten_Min_Row,COLUMN()) &amp; ":" &amp; ADDRESS(Fixkosten_Max_Row, COLUMN())))</f>
        <v>0</v>
      </c>
      <c r="H33" s="20" cm="1">
        <f t="array" aca="1" ref="H33" ca="1">SUM(INDIRECT(ADDRESS(Fixkosten_Min_Row,COLUMN()) &amp; ":" &amp; ADDRESS(Fixkosten_Max_Row, COLUMN())))</f>
        <v>0</v>
      </c>
      <c r="I33" s="20" cm="1">
        <f t="array" aca="1" ref="I33" ca="1">SUM(INDIRECT(ADDRESS(Fixkosten_Min_Row,COLUMN()) &amp; ":" &amp; ADDRESS(Fixkosten_Max_Row, COLUMN())))</f>
        <v>0</v>
      </c>
      <c r="J33" s="20" cm="1">
        <f t="array" aca="1" ref="J33" ca="1">SUM(INDIRECT(ADDRESS(Fixkosten_Min_Row,COLUMN()) &amp; ":" &amp; ADDRESS(Fixkosten_Max_Row, COLUMN())))</f>
        <v>0</v>
      </c>
      <c r="K33" s="20" cm="1">
        <f t="array" aca="1" ref="K33" ca="1">SUM(INDIRECT(ADDRESS(Fixkosten_Min_Row,COLUMN()) &amp; ":" &amp; ADDRESS(Fixkosten_Max_Row, COLUMN())))</f>
        <v>0</v>
      </c>
      <c r="L33" s="20" cm="1">
        <f t="array" aca="1" ref="L33" ca="1">SUM(INDIRECT(ADDRESS(Fixkosten_Min_Row,COLUMN()) &amp; ":" &amp; ADDRESS(Fixkosten_Max_Row, COLUMN())))</f>
        <v>0</v>
      </c>
      <c r="M33" s="20" cm="1">
        <f t="array" aca="1" ref="M33" ca="1">SUM(INDIRECT(ADDRESS(Fixkosten_Min_Row,COLUMN()) &amp; ":" &amp; ADDRESS(Fixkosten_Max_Row, COLUMN())))</f>
        <v>0</v>
      </c>
      <c r="N33" s="20" cm="1">
        <f t="array" aca="1" ref="N33" ca="1">SUM(INDIRECT(ADDRESS(Fixkosten_Min_Row,COLUMN()) &amp; ":" &amp; ADDRESS(Fixkosten_Max_Row, COLUMN())))</f>
        <v>0</v>
      </c>
      <c r="O33" s="20" cm="1">
        <f t="array" aca="1" ref="O33" ca="1">SUM(INDIRECT(ADDRESS(Fixkosten_Min_Row,COLUMN()) &amp; ":" &amp; ADDRESS(Fixkosten_Max_Row, COLUMN())))</f>
        <v>0</v>
      </c>
      <c r="P33" s="20" cm="1">
        <f t="array" aca="1" ref="P33" ca="1">SUM(INDIRECT(ADDRESS(Fixkosten_Min_Row,COLUMN()) &amp; ":" &amp; ADDRESS(Fixkosten_Max_Row, COLUMN())))</f>
        <v>0</v>
      </c>
      <c r="Q33" s="20" cm="1">
        <f t="array" aca="1" ref="Q33" ca="1">SUM(INDIRECT(ADDRESS(Fixkosten_Min_Row,COLUMN()) &amp; ":" &amp; ADDRESS(Fixkosten_Max_Row, COLUMN())))</f>
        <v>0</v>
      </c>
      <c r="S33" s="20" cm="1">
        <f t="array" aca="1" ref="S33" ca="1">SUM(INDIRECT(ADDRESS(Fixkosten_Min_Row,COLUMN()) &amp; ":" &amp; ADDRESS(Fixkosten_Max_Row, COLUMN())))</f>
        <v>0</v>
      </c>
      <c r="T33" s="20" cm="1">
        <f t="array" aca="1" ref="T33" ca="1">SUM(INDIRECT(ADDRESS(Fixkosten_Min_Row,COLUMN()) &amp; ":" &amp; ADDRESS(Fixkosten_Max_Row, COLUMN())))</f>
        <v>0</v>
      </c>
      <c r="U33" s="20" cm="1">
        <f t="array" aca="1" ref="U33" ca="1">SUM(INDIRECT(ADDRESS(Fixkosten_Min_Row,COLUMN()) &amp; ":" &amp; ADDRESS(Fixkosten_Max_Row, COLUMN())))</f>
        <v>0</v>
      </c>
      <c r="V33" s="20" cm="1">
        <f t="array" aca="1" ref="V33" ca="1">SUM(INDIRECT(ADDRESS(Fixkosten_Min_Row,COLUMN()) &amp; ":" &amp; ADDRESS(Fixkosten_Max_Row, COLUMN())))</f>
        <v>0</v>
      </c>
      <c r="W33" s="20" cm="1">
        <f t="array" aca="1" ref="W33" ca="1">SUM(INDIRECT(ADDRESS(Fixkosten_Min_Row,COLUMN()) &amp; ":" &amp; ADDRESS(Fixkosten_Max_Row, COLUMN())))</f>
        <v>0</v>
      </c>
      <c r="X33" s="20" cm="1">
        <f t="array" aca="1" ref="X33" ca="1">SUM(INDIRECT(ADDRESS(Fixkosten_Min_Row,COLUMN()) &amp; ":" &amp; ADDRESS(Fixkosten_Max_Row, COLUMN())))</f>
        <v>0</v>
      </c>
      <c r="Y33" s="20" cm="1">
        <f t="array" aca="1" ref="Y33" ca="1">SUM(INDIRECT(ADDRESS(Fixkosten_Min_Row,COLUMN()) &amp; ":" &amp; ADDRESS(Fixkosten_Max_Row, COLUMN())))</f>
        <v>0</v>
      </c>
      <c r="Z33" s="20" cm="1">
        <f t="array" aca="1" ref="Z33" ca="1">SUM(INDIRECT(ADDRESS(Fixkosten_Min_Row,COLUMN()) &amp; ":" &amp; ADDRESS(Fixkosten_Max_Row, COLUMN())))</f>
        <v>0</v>
      </c>
      <c r="AA33" s="20" cm="1">
        <f t="array" aca="1" ref="AA33" ca="1">SUM(INDIRECT(ADDRESS(Fixkosten_Min_Row,COLUMN()) &amp; ":" &amp; ADDRESS(Fixkosten_Max_Row, COLUMN())))</f>
        <v>0</v>
      </c>
      <c r="AB33" s="20" cm="1">
        <f t="array" aca="1" ref="AB33" ca="1">SUM(INDIRECT(ADDRESS(Fixkosten_Min_Row,COLUMN()) &amp; ":" &amp; ADDRESS(Fixkosten_Max_Row, COLUMN())))</f>
        <v>0</v>
      </c>
      <c r="AC33" s="20" cm="1">
        <f t="array" aca="1" ref="AC33" ca="1">SUM(INDIRECT(ADDRESS(Fixkosten_Min_Row,COLUMN()) &amp; ":" &amp; ADDRESS(Fixkosten_Max_Row, COLUMN())))</f>
        <v>0</v>
      </c>
      <c r="AD33" s="20" cm="1">
        <f t="array" aca="1" ref="AD33" ca="1">SUM(INDIRECT(ADDRESS(Fixkosten_Min_Row,COLUMN()) &amp; ":" &amp; ADDRESS(Fixkosten_Max_Row, COLUMN())))</f>
        <v>0</v>
      </c>
      <c r="AE33" s="20" cm="1">
        <f t="array" aca="1" ref="AE33" ca="1">SUM(INDIRECT(ADDRESS(Fixkosten_Min_Row,COLUMN()) &amp; ":" &amp; ADDRESS(Fixkosten_Max_Row, COLUMN())))</f>
        <v>0</v>
      </c>
      <c r="AG33" s="20" cm="1">
        <f t="array" aca="1" ref="AG33" ca="1">SUM(INDIRECT(ADDRESS(Fixkosten_Min_Row,COLUMN()) &amp; ":" &amp; ADDRESS(Fixkosten_Max_Row, COLUMN())))</f>
        <v>0</v>
      </c>
      <c r="AH33" s="20" cm="1">
        <f t="array" aca="1" ref="AH33" ca="1">SUM(INDIRECT(ADDRESS(Fixkosten_Min_Row,COLUMN()) &amp; ":" &amp; ADDRESS(Fixkosten_Max_Row, COLUMN())))</f>
        <v>0</v>
      </c>
      <c r="AI33" s="20" cm="1">
        <f t="array" aca="1" ref="AI33" ca="1">SUM(INDIRECT(ADDRESS(Fixkosten_Min_Row,COLUMN()) &amp; ":" &amp; ADDRESS(Fixkosten_Max_Row, COLUMN())))</f>
        <v>0</v>
      </c>
      <c r="AJ33" s="20" cm="1">
        <f t="array" aca="1" ref="AJ33" ca="1">SUM(INDIRECT(ADDRESS(Fixkosten_Min_Row,COLUMN()) &amp; ":" &amp; ADDRESS(Fixkosten_Max_Row, COLUMN())))</f>
        <v>0</v>
      </c>
      <c r="AK33" s="20" cm="1">
        <f t="array" aca="1" ref="AK33" ca="1">SUM(INDIRECT(ADDRESS(Fixkosten_Min_Row,COLUMN()) &amp; ":" &amp; ADDRESS(Fixkosten_Max_Row, COLUMN())))</f>
        <v>0</v>
      </c>
      <c r="AL33" s="20" cm="1">
        <f t="array" aca="1" ref="AL33" ca="1">SUM(INDIRECT(ADDRESS(Fixkosten_Min_Row,COLUMN()) &amp; ":" &amp; ADDRESS(Fixkosten_Max_Row, COLUMN())))</f>
        <v>0</v>
      </c>
      <c r="AM33" s="20" cm="1">
        <f t="array" aca="1" ref="AM33" ca="1">SUM(INDIRECT(ADDRESS(Fixkosten_Min_Row,COLUMN()) &amp; ":" &amp; ADDRESS(Fixkosten_Max_Row, COLUMN())))</f>
        <v>0</v>
      </c>
      <c r="AN33" s="20" cm="1">
        <f t="array" aca="1" ref="AN33" ca="1">SUM(INDIRECT(ADDRESS(Fixkosten_Min_Row,COLUMN()) &amp; ":" &amp; ADDRESS(Fixkosten_Max_Row, COLUMN())))</f>
        <v>0</v>
      </c>
      <c r="AO33" s="20" cm="1">
        <f t="array" aca="1" ref="AO33" ca="1">SUM(INDIRECT(ADDRESS(Fixkosten_Min_Row,COLUMN()) &amp; ":" &amp; ADDRESS(Fixkosten_Max_Row, COLUMN())))</f>
        <v>0</v>
      </c>
      <c r="AP33" s="20" cm="1">
        <f t="array" aca="1" ref="AP33" ca="1">SUM(INDIRECT(ADDRESS(Fixkosten_Min_Row,COLUMN()) &amp; ":" &amp; ADDRESS(Fixkosten_Max_Row, COLUMN())))</f>
        <v>0</v>
      </c>
      <c r="AQ33" s="20" cm="1">
        <f t="array" aca="1" ref="AQ33" ca="1">SUM(INDIRECT(ADDRESS(Fixkosten_Min_Row,COLUMN()) &amp; ":" &amp; ADDRESS(Fixkosten_Max_Row, COLUMN())))</f>
        <v>0</v>
      </c>
      <c r="AR33" s="20" cm="1">
        <f t="array" aca="1" ref="AR33" ca="1">SUM(INDIRECT(ADDRESS(Fixkosten_Min_Row,COLUMN()) &amp; ":" &amp; ADDRESS(Fixkosten_Max_Row, COLUMN())))</f>
        <v>0</v>
      </c>
      <c r="AS33" s="20" cm="1">
        <f t="array" aca="1" ref="AS33" ca="1">SUM(INDIRECT(ADDRESS(Fixkosten_Min_Row,COLUMN()) &amp; ":" &amp; ADDRESS(Fixkosten_Max_Row, COLUMN())))</f>
        <v>0</v>
      </c>
      <c r="AU33" s="20" cm="1">
        <f t="array" aca="1" ref="AU33" ca="1">SUM(INDIRECT(ADDRESS(Fixkosten_Min_Row,COLUMN()) &amp; ":" &amp; ADDRESS(Fixkosten_Max_Row, COLUMN())))</f>
        <v>0</v>
      </c>
      <c r="AV33" s="20" cm="1">
        <f t="array" aca="1" ref="AV33" ca="1">SUM(INDIRECT(ADDRESS(Fixkosten_Min_Row,COLUMN()) &amp; ":" &amp; ADDRESS(Fixkosten_Max_Row, COLUMN())))</f>
        <v>0</v>
      </c>
      <c r="AW33" s="20" cm="1">
        <f t="array" aca="1" ref="AW33" ca="1">SUM(INDIRECT(ADDRESS(Fixkosten_Min_Row,COLUMN()) &amp; ":" &amp; ADDRESS(Fixkosten_Max_Row, COLUMN())))</f>
        <v>0</v>
      </c>
      <c r="AX33" s="20" cm="1">
        <f t="array" aca="1" ref="AX33" ca="1">SUM(INDIRECT(ADDRESS(Fixkosten_Min_Row,COLUMN()) &amp; ":" &amp; ADDRESS(Fixkosten_Max_Row, COLUMN())))</f>
        <v>0</v>
      </c>
      <c r="AY33" s="20" cm="1">
        <f t="array" aca="1" ref="AY33" ca="1">SUM(INDIRECT(ADDRESS(Fixkosten_Min_Row,COLUMN()) &amp; ":" &amp; ADDRESS(Fixkosten_Max_Row, COLUMN())))</f>
        <v>0</v>
      </c>
      <c r="AZ33" s="20" cm="1">
        <f t="array" aca="1" ref="AZ33" ca="1">SUM(INDIRECT(ADDRESS(Fixkosten_Min_Row,COLUMN()) &amp; ":" &amp; ADDRESS(Fixkosten_Max_Row, COLUMN())))</f>
        <v>0</v>
      </c>
      <c r="BA33" s="20" cm="1">
        <f t="array" aca="1" ref="BA33" ca="1">SUM(INDIRECT(ADDRESS(Fixkosten_Min_Row,COLUMN()) &amp; ":" &amp; ADDRESS(Fixkosten_Max_Row, COLUMN())))</f>
        <v>0</v>
      </c>
      <c r="BB33" s="20" cm="1">
        <f t="array" aca="1" ref="BB33" ca="1">SUM(INDIRECT(ADDRESS(Fixkosten_Min_Row,COLUMN()) &amp; ":" &amp; ADDRESS(Fixkosten_Max_Row, COLUMN())))</f>
        <v>0</v>
      </c>
      <c r="BC33" s="20" cm="1">
        <f t="array" aca="1" ref="BC33" ca="1">SUM(INDIRECT(ADDRESS(Fixkosten_Min_Row,COLUMN()) &amp; ":" &amp; ADDRESS(Fixkosten_Max_Row, COLUMN())))</f>
        <v>0</v>
      </c>
      <c r="BD33" s="20" cm="1">
        <f t="array" aca="1" ref="BD33" ca="1">SUM(INDIRECT(ADDRESS(Fixkosten_Min_Row,COLUMN()) &amp; ":" &amp; ADDRESS(Fixkosten_Max_Row, COLUMN())))</f>
        <v>0</v>
      </c>
      <c r="BE33" s="20" cm="1">
        <f t="array" aca="1" ref="BE33" ca="1">SUM(INDIRECT(ADDRESS(Fixkosten_Min_Row,COLUMN()) &amp; ":" &amp; ADDRESS(Fixkosten_Max_Row, COLUMN())))</f>
        <v>0</v>
      </c>
      <c r="BF33" s="20" cm="1">
        <f t="array" aca="1" ref="BF33" ca="1">SUM(INDIRECT(ADDRESS(Fixkosten_Min_Row,COLUMN()) &amp; ":" &amp; ADDRESS(Fixkosten_Max_Row, COLUMN())))</f>
        <v>0</v>
      </c>
      <c r="BG33" s="20" cm="1">
        <f t="array" aca="1" ref="BG33" ca="1">SUM(INDIRECT(ADDRESS(Fixkosten_Min_Row,COLUMN()) &amp; ":" &amp; ADDRESS(Fixkosten_Max_Row, COLUMN())))</f>
        <v>0</v>
      </c>
      <c r="BI33" s="20" cm="1">
        <f t="array" aca="1" ref="BI33" ca="1">SUM(INDIRECT(ADDRESS(Fixkosten_Min_Row,COLUMN()) &amp; ":" &amp; ADDRESS(Fixkosten_Max_Row, COLUMN())))</f>
        <v>0</v>
      </c>
      <c r="BJ33" s="20" cm="1">
        <f t="array" aca="1" ref="BJ33" ca="1">SUM(INDIRECT(ADDRESS(Fixkosten_Min_Row,COLUMN()) &amp; ":" &amp; ADDRESS(Fixkosten_Max_Row, COLUMN())))</f>
        <v>0</v>
      </c>
      <c r="BK33" s="20" cm="1">
        <f t="array" aca="1" ref="BK33" ca="1">SUM(INDIRECT(ADDRESS(Fixkosten_Min_Row,COLUMN()) &amp; ":" &amp; ADDRESS(Fixkosten_Max_Row, COLUMN())))</f>
        <v>0</v>
      </c>
      <c r="BL33" s="20" cm="1">
        <f t="array" aca="1" ref="BL33" ca="1">SUM(INDIRECT(ADDRESS(Fixkosten_Min_Row,COLUMN()) &amp; ":" &amp; ADDRESS(Fixkosten_Max_Row, COLUMN())))</f>
        <v>0</v>
      </c>
      <c r="BM33" s="20" cm="1">
        <f t="array" aca="1" ref="BM33" ca="1">SUM(INDIRECT(ADDRESS(Fixkosten_Min_Row,COLUMN()) &amp; ":" &amp; ADDRESS(Fixkosten_Max_Row, COLUMN())))</f>
        <v>0</v>
      </c>
      <c r="BN33" s="20" cm="1">
        <f t="array" aca="1" ref="BN33" ca="1">SUM(INDIRECT(ADDRESS(Fixkosten_Min_Row,COLUMN()) &amp; ":" &amp; ADDRESS(Fixkosten_Max_Row, COLUMN())))</f>
        <v>0</v>
      </c>
      <c r="BO33" s="20" cm="1">
        <f t="array" aca="1" ref="BO33" ca="1">SUM(INDIRECT(ADDRESS(Fixkosten_Min_Row,COLUMN()) &amp; ":" &amp; ADDRESS(Fixkosten_Max_Row, COLUMN())))</f>
        <v>0</v>
      </c>
      <c r="BP33" s="20" cm="1">
        <f t="array" aca="1" ref="BP33" ca="1">SUM(INDIRECT(ADDRESS(Fixkosten_Min_Row,COLUMN()) &amp; ":" &amp; ADDRESS(Fixkosten_Max_Row, COLUMN())))</f>
        <v>0</v>
      </c>
      <c r="BQ33" s="20" cm="1">
        <f t="array" aca="1" ref="BQ33" ca="1">SUM(INDIRECT(ADDRESS(Fixkosten_Min_Row,COLUMN()) &amp; ":" &amp; ADDRESS(Fixkosten_Max_Row, COLUMN())))</f>
        <v>0</v>
      </c>
      <c r="BR33" s="20" cm="1">
        <f t="array" aca="1" ref="BR33" ca="1">SUM(INDIRECT(ADDRESS(Fixkosten_Min_Row,COLUMN()) &amp; ":" &amp; ADDRESS(Fixkosten_Max_Row, COLUMN())))</f>
        <v>0</v>
      </c>
      <c r="BS33" s="20" cm="1">
        <f t="array" aca="1" ref="BS33" ca="1">SUM(INDIRECT(ADDRESS(Fixkosten_Min_Row,COLUMN()) &amp; ":" &amp; ADDRESS(Fixkosten_Max_Row, COLUMN())))</f>
        <v>0</v>
      </c>
      <c r="BT33" s="20" cm="1">
        <f t="array" aca="1" ref="BT33" ca="1">SUM(INDIRECT(ADDRESS(Fixkosten_Min_Row,COLUMN()) &amp; ":" &amp; ADDRESS(Fixkosten_Max_Row, COLUMN())))</f>
        <v>0</v>
      </c>
      <c r="BU33" s="20" cm="1">
        <f t="array" aca="1" ref="BU33" ca="1">SUM(INDIRECT(ADDRESS(Fixkosten_Min_Row,COLUMN()) &amp; ":" &amp; ADDRESS(Fixkosten_Max_Row, COLUMN())))</f>
        <v>0</v>
      </c>
      <c r="BW33" s="20" cm="1">
        <f t="array" aca="1" ref="BW33" ca="1">SUM(INDIRECT(ADDRESS(Fixkosten_Min_Row,COLUMN()) &amp; ":" &amp; ADDRESS(Fixkosten_Max_Row, COLUMN())))</f>
        <v>0</v>
      </c>
      <c r="BX33" s="20" cm="1">
        <f t="array" aca="1" ref="BX33" ca="1">SUM(INDIRECT(ADDRESS(Fixkosten_Min_Row,COLUMN()) &amp; ":" &amp; ADDRESS(Fixkosten_Max_Row, COLUMN())))</f>
        <v>0</v>
      </c>
      <c r="BY33" s="20" cm="1">
        <f t="array" aca="1" ref="BY33" ca="1">SUM(INDIRECT(ADDRESS(Fixkosten_Min_Row,COLUMN()) &amp; ":" &amp; ADDRESS(Fixkosten_Max_Row, COLUMN())))</f>
        <v>0</v>
      </c>
      <c r="BZ33" s="20" cm="1">
        <f t="array" aca="1" ref="BZ33" ca="1">SUM(INDIRECT(ADDRESS(Fixkosten_Min_Row,COLUMN()) &amp; ":" &amp; ADDRESS(Fixkosten_Max_Row, COLUMN())))</f>
        <v>0</v>
      </c>
      <c r="CA33" s="20" cm="1">
        <f t="array" aca="1" ref="CA33" ca="1">SUM(INDIRECT(ADDRESS(Fixkosten_Min_Row,COLUMN()) &amp; ":" &amp; ADDRESS(Fixkosten_Max_Row, COLUMN())))</f>
        <v>0</v>
      </c>
      <c r="CB33" s="20" cm="1">
        <f t="array" aca="1" ref="CB33" ca="1">SUM(INDIRECT(ADDRESS(Fixkosten_Min_Row,COLUMN()) &amp; ":" &amp; ADDRESS(Fixkosten_Max_Row, COLUMN())))</f>
        <v>0</v>
      </c>
      <c r="CC33" s="20" cm="1">
        <f t="array" aca="1" ref="CC33" ca="1">SUM(INDIRECT(ADDRESS(Fixkosten_Min_Row,COLUMN()) &amp; ":" &amp; ADDRESS(Fixkosten_Max_Row, COLUMN())))</f>
        <v>0</v>
      </c>
      <c r="CD33" s="20" cm="1">
        <f t="array" aca="1" ref="CD33" ca="1">SUM(INDIRECT(ADDRESS(Fixkosten_Min_Row,COLUMN()) &amp; ":" &amp; ADDRESS(Fixkosten_Max_Row, COLUMN())))</f>
        <v>0</v>
      </c>
      <c r="CE33" s="20" cm="1">
        <f t="array" aca="1" ref="CE33" ca="1">SUM(INDIRECT(ADDRESS(Fixkosten_Min_Row,COLUMN()) &amp; ":" &amp; ADDRESS(Fixkosten_Max_Row, COLUMN())))</f>
        <v>0</v>
      </c>
      <c r="CF33" s="20" cm="1">
        <f t="array" aca="1" ref="CF33" ca="1">SUM(INDIRECT(ADDRESS(Fixkosten_Min_Row,COLUMN()) &amp; ":" &amp; ADDRESS(Fixkosten_Max_Row, COLUMN())))</f>
        <v>0</v>
      </c>
      <c r="CG33" s="20" cm="1">
        <f t="array" aca="1" ref="CG33" ca="1">SUM(INDIRECT(ADDRESS(Fixkosten_Min_Row,COLUMN()) &amp; ":" &amp; ADDRESS(Fixkosten_Max_Row, COLUMN())))</f>
        <v>0</v>
      </c>
      <c r="CH33" s="20" cm="1">
        <f t="array" aca="1" ref="CH33" ca="1">SUM(INDIRECT(ADDRESS(Fixkosten_Min_Row,COLUMN()) &amp; ":" &amp; ADDRESS(Fixkosten_Max_Row, COLUMN())))</f>
        <v>0</v>
      </c>
      <c r="CI33" s="20" cm="1">
        <f t="array" aca="1" ref="CI33" ca="1">SUM(INDIRECT(ADDRESS(Fixkosten_Min_Row,COLUMN()) &amp; ":" &amp; ADDRESS(Fixkosten_Max_Row, COLUMN())))</f>
        <v>0</v>
      </c>
      <c r="CK33" s="20" cm="1">
        <f t="array" aca="1" ref="CK33" ca="1">SUM(INDIRECT(ADDRESS(Fixkosten_Min_Row,COLUMN()) &amp; ":" &amp; ADDRESS(Fixkosten_Max_Row, COLUMN())))</f>
        <v>0</v>
      </c>
      <c r="CL33" s="20" cm="1">
        <f t="array" aca="1" ref="CL33" ca="1">SUM(INDIRECT(ADDRESS(Fixkosten_Min_Row,COLUMN()) &amp; ":" &amp; ADDRESS(Fixkosten_Max_Row, COLUMN())))</f>
        <v>0</v>
      </c>
      <c r="CM33" s="20" cm="1">
        <f t="array" aca="1" ref="CM33" ca="1">SUM(INDIRECT(ADDRESS(Fixkosten_Min_Row,COLUMN()) &amp; ":" &amp; ADDRESS(Fixkosten_Max_Row, COLUMN())))</f>
        <v>0</v>
      </c>
      <c r="CN33" s="20" cm="1">
        <f t="array" aca="1" ref="CN33" ca="1">SUM(INDIRECT(ADDRESS(Fixkosten_Min_Row,COLUMN()) &amp; ":" &amp; ADDRESS(Fixkosten_Max_Row, COLUMN())))</f>
        <v>0</v>
      </c>
      <c r="CO33" s="20" cm="1">
        <f t="array" aca="1" ref="CO33" ca="1">SUM(INDIRECT(ADDRESS(Fixkosten_Min_Row,COLUMN()) &amp; ":" &amp; ADDRESS(Fixkosten_Max_Row, COLUMN())))</f>
        <v>0</v>
      </c>
      <c r="CP33" s="20" cm="1">
        <f t="array" aca="1" ref="CP33" ca="1">SUM(INDIRECT(ADDRESS(Fixkosten_Min_Row,COLUMN()) &amp; ":" &amp; ADDRESS(Fixkosten_Max_Row, COLUMN())))</f>
        <v>0</v>
      </c>
      <c r="CQ33" s="20" cm="1">
        <f t="array" aca="1" ref="CQ33" ca="1">SUM(INDIRECT(ADDRESS(Fixkosten_Min_Row,COLUMN()) &amp; ":" &amp; ADDRESS(Fixkosten_Max_Row, COLUMN())))</f>
        <v>0</v>
      </c>
      <c r="CR33" s="20" cm="1">
        <f t="array" aca="1" ref="CR33" ca="1">SUM(INDIRECT(ADDRESS(Fixkosten_Min_Row,COLUMN()) &amp; ":" &amp; ADDRESS(Fixkosten_Max_Row, COLUMN())))</f>
        <v>0</v>
      </c>
      <c r="CS33" s="20" cm="1">
        <f t="array" aca="1" ref="CS33" ca="1">SUM(INDIRECT(ADDRESS(Fixkosten_Min_Row,COLUMN()) &amp; ":" &amp; ADDRESS(Fixkosten_Max_Row, COLUMN())))</f>
        <v>0</v>
      </c>
      <c r="CT33" s="20" cm="1">
        <f t="array" aca="1" ref="CT33" ca="1">SUM(INDIRECT(ADDRESS(Fixkosten_Min_Row,COLUMN()) &amp; ":" &amp; ADDRESS(Fixkosten_Max_Row, COLUMN())))</f>
        <v>0</v>
      </c>
      <c r="CU33" s="20" cm="1">
        <f t="array" aca="1" ref="CU33" ca="1">SUM(INDIRECT(ADDRESS(Fixkosten_Min_Row,COLUMN()) &amp; ":" &amp; ADDRESS(Fixkosten_Max_Row, COLUMN())))</f>
        <v>0</v>
      </c>
      <c r="CV33" s="20" cm="1">
        <f t="array" aca="1" ref="CV33" ca="1">SUM(INDIRECT(ADDRESS(Fixkosten_Min_Row,COLUMN()) &amp; ":" &amp; ADDRESS(Fixkosten_Max_Row, COLUMN())))</f>
        <v>0</v>
      </c>
      <c r="CW33" s="20" cm="1">
        <f t="array" aca="1" ref="CW33" ca="1">SUM(INDIRECT(ADDRESS(Fixkosten_Min_Row,COLUMN()) &amp; ":" &amp; ADDRESS(Fixkosten_Max_Row, COLUMN())))</f>
        <v>0</v>
      </c>
      <c r="CY33" s="20" cm="1">
        <f t="array" aca="1" ref="CY33" ca="1">SUM(INDIRECT(ADDRESS(Fixkosten_Min_Row,COLUMN()) &amp; ":" &amp; ADDRESS(Fixkosten_Max_Row, COLUMN())))</f>
        <v>0</v>
      </c>
      <c r="CZ33" s="20" cm="1">
        <f t="array" aca="1" ref="CZ33" ca="1">SUM(INDIRECT(ADDRESS(Fixkosten_Min_Row,COLUMN()) &amp; ":" &amp; ADDRESS(Fixkosten_Max_Row, COLUMN())))</f>
        <v>0</v>
      </c>
      <c r="DA33" s="20" cm="1">
        <f t="array" aca="1" ref="DA33" ca="1">SUM(INDIRECT(ADDRESS(Fixkosten_Min_Row,COLUMN()) &amp; ":" &amp; ADDRESS(Fixkosten_Max_Row, COLUMN())))</f>
        <v>0</v>
      </c>
      <c r="DB33" s="20" cm="1">
        <f t="array" aca="1" ref="DB33" ca="1">SUM(INDIRECT(ADDRESS(Fixkosten_Min_Row,COLUMN()) &amp; ":" &amp; ADDRESS(Fixkosten_Max_Row, COLUMN())))</f>
        <v>0</v>
      </c>
      <c r="DC33" s="20" cm="1">
        <f t="array" aca="1" ref="DC33" ca="1">SUM(INDIRECT(ADDRESS(Fixkosten_Min_Row,COLUMN()) &amp; ":" &amp; ADDRESS(Fixkosten_Max_Row, COLUMN())))</f>
        <v>0</v>
      </c>
      <c r="DD33" s="20" cm="1">
        <f t="array" aca="1" ref="DD33" ca="1">SUM(INDIRECT(ADDRESS(Fixkosten_Min_Row,COLUMN()) &amp; ":" &amp; ADDRESS(Fixkosten_Max_Row, COLUMN())))</f>
        <v>0</v>
      </c>
      <c r="DE33" s="20" cm="1">
        <f t="array" aca="1" ref="DE33" ca="1">SUM(INDIRECT(ADDRESS(Fixkosten_Min_Row,COLUMN()) &amp; ":" &amp; ADDRESS(Fixkosten_Max_Row, COLUMN())))</f>
        <v>0</v>
      </c>
      <c r="DF33" s="20" cm="1">
        <f t="array" aca="1" ref="DF33" ca="1">SUM(INDIRECT(ADDRESS(Fixkosten_Min_Row,COLUMN()) &amp; ":" &amp; ADDRESS(Fixkosten_Max_Row, COLUMN())))</f>
        <v>0</v>
      </c>
      <c r="DG33" s="20" cm="1">
        <f t="array" aca="1" ref="DG33" ca="1">SUM(INDIRECT(ADDRESS(Fixkosten_Min_Row,COLUMN()) &amp; ":" &amp; ADDRESS(Fixkosten_Max_Row, COLUMN())))</f>
        <v>0</v>
      </c>
      <c r="DH33" s="20" cm="1">
        <f t="array" aca="1" ref="DH33" ca="1">SUM(INDIRECT(ADDRESS(Fixkosten_Min_Row,COLUMN()) &amp; ":" &amp; ADDRESS(Fixkosten_Max_Row, COLUMN())))</f>
        <v>0</v>
      </c>
      <c r="DI33" s="20" cm="1">
        <f t="array" aca="1" ref="DI33" ca="1">SUM(INDIRECT(ADDRESS(Fixkosten_Min_Row,COLUMN()) &amp; ":" &amp; ADDRESS(Fixkosten_Max_Row, COLUMN())))</f>
        <v>0</v>
      </c>
      <c r="DJ33" s="20" cm="1">
        <f t="array" aca="1" ref="DJ33" ca="1">SUM(INDIRECT(ADDRESS(Fixkosten_Min_Row,COLUMN()) &amp; ":" &amp; ADDRESS(Fixkosten_Max_Row, COLUMN())))</f>
        <v>0</v>
      </c>
      <c r="DK33" s="20" cm="1">
        <f t="array" aca="1" ref="DK33" ca="1">SUM(INDIRECT(ADDRESS(Fixkosten_Min_Row,COLUMN()) &amp; ":" &amp; ADDRESS(Fixkosten_Max_Row, COLUMN())))</f>
        <v>0</v>
      </c>
      <c r="DM33" s="20" cm="1">
        <f t="array" aca="1" ref="DM33" ca="1">SUM(INDIRECT(ADDRESS(Fixkosten_Min_Row,COLUMN()) &amp; ":" &amp; ADDRESS(Fixkosten_Max_Row, COLUMN())))</f>
        <v>0</v>
      </c>
      <c r="DN33" s="20" cm="1">
        <f t="array" aca="1" ref="DN33" ca="1">SUM(INDIRECT(ADDRESS(Fixkosten_Min_Row,COLUMN()) &amp; ":" &amp; ADDRESS(Fixkosten_Max_Row, COLUMN())))</f>
        <v>0</v>
      </c>
      <c r="DO33" s="20" cm="1">
        <f t="array" aca="1" ref="DO33" ca="1">SUM(INDIRECT(ADDRESS(Fixkosten_Min_Row,COLUMN()) &amp; ":" &amp; ADDRESS(Fixkosten_Max_Row, COLUMN())))</f>
        <v>0</v>
      </c>
      <c r="DP33" s="20" cm="1">
        <f t="array" aca="1" ref="DP33" ca="1">SUM(INDIRECT(ADDRESS(Fixkosten_Min_Row,COLUMN()) &amp; ":" &amp; ADDRESS(Fixkosten_Max_Row, COLUMN())))</f>
        <v>0</v>
      </c>
      <c r="DQ33" s="20" cm="1">
        <f t="array" aca="1" ref="DQ33" ca="1">SUM(INDIRECT(ADDRESS(Fixkosten_Min_Row,COLUMN()) &amp; ":" &amp; ADDRESS(Fixkosten_Max_Row, COLUMN())))</f>
        <v>0</v>
      </c>
      <c r="DR33" s="20" cm="1">
        <f t="array" aca="1" ref="DR33" ca="1">SUM(INDIRECT(ADDRESS(Fixkosten_Min_Row,COLUMN()) &amp; ":" &amp; ADDRESS(Fixkosten_Max_Row, COLUMN())))</f>
        <v>0</v>
      </c>
      <c r="DS33" s="20" cm="1">
        <f t="array" aca="1" ref="DS33" ca="1">SUM(INDIRECT(ADDRESS(Fixkosten_Min_Row,COLUMN()) &amp; ":" &amp; ADDRESS(Fixkosten_Max_Row, COLUMN())))</f>
        <v>0</v>
      </c>
      <c r="DT33" s="20" cm="1">
        <f t="array" aca="1" ref="DT33" ca="1">SUM(INDIRECT(ADDRESS(Fixkosten_Min_Row,COLUMN()) &amp; ":" &amp; ADDRESS(Fixkosten_Max_Row, COLUMN())))</f>
        <v>0</v>
      </c>
      <c r="DU33" s="20" cm="1">
        <f t="array" aca="1" ref="DU33" ca="1">SUM(INDIRECT(ADDRESS(Fixkosten_Min_Row,COLUMN()) &amp; ":" &amp; ADDRESS(Fixkosten_Max_Row, COLUMN())))</f>
        <v>0</v>
      </c>
      <c r="DV33" s="20" cm="1">
        <f t="array" aca="1" ref="DV33" ca="1">SUM(INDIRECT(ADDRESS(Fixkosten_Min_Row,COLUMN()) &amp; ":" &amp; ADDRESS(Fixkosten_Max_Row, COLUMN())))</f>
        <v>0</v>
      </c>
      <c r="DW33" s="20" cm="1">
        <f t="array" aca="1" ref="DW33" ca="1">SUM(INDIRECT(ADDRESS(Fixkosten_Min_Row,COLUMN()) &amp; ":" &amp; ADDRESS(Fixkosten_Max_Row, COLUMN())))</f>
        <v>0</v>
      </c>
      <c r="DX33" s="20" cm="1">
        <f t="array" aca="1" ref="DX33" ca="1">SUM(INDIRECT(ADDRESS(Fixkosten_Min_Row,COLUMN()) &amp; ":" &amp; ADDRESS(Fixkosten_Max_Row, COLUMN())))</f>
        <v>0</v>
      </c>
      <c r="DY33" s="20" cm="1">
        <f t="array" aca="1" ref="DY33" ca="1">SUM(INDIRECT(ADDRESS(Fixkosten_Min_Row,COLUMN()) &amp; ":" &amp; ADDRESS(Fixkosten_Max_Row, COLUMN())))</f>
        <v>0</v>
      </c>
      <c r="EA33" s="20" cm="1">
        <f t="array" aca="1" ref="EA33" ca="1">SUM(INDIRECT(ADDRESS(Fixkosten_Min_Row,COLUMN()) &amp; ":" &amp; ADDRESS(Fixkosten_Max_Row, COLUMN())))</f>
        <v>0</v>
      </c>
      <c r="EB33" s="20" cm="1">
        <f t="array" aca="1" ref="EB33" ca="1">SUM(INDIRECT(ADDRESS(Fixkosten_Min_Row,COLUMN()) &amp; ":" &amp; ADDRESS(Fixkosten_Max_Row, COLUMN())))</f>
        <v>0</v>
      </c>
      <c r="EC33" s="20" cm="1">
        <f t="array" aca="1" ref="EC33" ca="1">SUM(INDIRECT(ADDRESS(Fixkosten_Min_Row,COLUMN()) &amp; ":" &amp; ADDRESS(Fixkosten_Max_Row, COLUMN())))</f>
        <v>0</v>
      </c>
      <c r="ED33" s="20" cm="1">
        <f t="array" aca="1" ref="ED33" ca="1">SUM(INDIRECT(ADDRESS(Fixkosten_Min_Row,COLUMN()) &amp; ":" &amp; ADDRESS(Fixkosten_Max_Row, COLUMN())))</f>
        <v>0</v>
      </c>
      <c r="EE33" s="20" cm="1">
        <f t="array" aca="1" ref="EE33" ca="1">SUM(INDIRECT(ADDRESS(Fixkosten_Min_Row,COLUMN()) &amp; ":" &amp; ADDRESS(Fixkosten_Max_Row, COLUMN())))</f>
        <v>0</v>
      </c>
      <c r="EF33" s="20" cm="1">
        <f t="array" aca="1" ref="EF33" ca="1">SUM(INDIRECT(ADDRESS(Fixkosten_Min_Row,COLUMN()) &amp; ":" &amp; ADDRESS(Fixkosten_Max_Row, COLUMN())))</f>
        <v>0</v>
      </c>
      <c r="EG33" s="20" cm="1">
        <f t="array" aca="1" ref="EG33" ca="1">SUM(INDIRECT(ADDRESS(Fixkosten_Min_Row,COLUMN()) &amp; ":" &amp; ADDRESS(Fixkosten_Max_Row, COLUMN())))</f>
        <v>0</v>
      </c>
      <c r="EH33" s="20" cm="1">
        <f t="array" aca="1" ref="EH33" ca="1">SUM(INDIRECT(ADDRESS(Fixkosten_Min_Row,COLUMN()) &amp; ":" &amp; ADDRESS(Fixkosten_Max_Row, COLUMN())))</f>
        <v>0</v>
      </c>
      <c r="EI33" s="20" cm="1">
        <f t="array" aca="1" ref="EI33" ca="1">SUM(INDIRECT(ADDRESS(Fixkosten_Min_Row,COLUMN()) &amp; ":" &amp; ADDRESS(Fixkosten_Max_Row, COLUMN())))</f>
        <v>0</v>
      </c>
      <c r="EJ33" s="20" cm="1">
        <f t="array" aca="1" ref="EJ33" ca="1">SUM(INDIRECT(ADDRESS(Fixkosten_Min_Row,COLUMN()) &amp; ":" &amp; ADDRESS(Fixkosten_Max_Row, COLUMN())))</f>
        <v>0</v>
      </c>
      <c r="EK33" s="20" cm="1">
        <f t="array" aca="1" ref="EK33" ca="1">SUM(INDIRECT(ADDRESS(Fixkosten_Min_Row,COLUMN()) &amp; ":" &amp; ADDRESS(Fixkosten_Max_Row, COLUMN())))</f>
        <v>0</v>
      </c>
      <c r="EL33" s="20" cm="1">
        <f t="array" aca="1" ref="EL33" ca="1">SUM(INDIRECT(ADDRESS(Fixkosten_Min_Row,COLUMN()) &amp; ":" &amp; ADDRESS(Fixkosten_Max_Row, COLUMN())))</f>
        <v>0</v>
      </c>
      <c r="EM33" s="20" cm="1">
        <f t="array" aca="1" ref="EM33" ca="1">SUM(INDIRECT(ADDRESS(Fixkosten_Min_Row,COLUMN()) &amp; ":" &amp; ADDRESS(Fixkosten_Max_Row, COLUMN())))</f>
        <v>0</v>
      </c>
      <c r="EO33" s="20" cm="1">
        <f t="array" aca="1" ref="EO33" ca="1">SUM(INDIRECT(ADDRESS(Fixkosten_Min_Row,COLUMN()) &amp; ":" &amp; ADDRESS(Fixkosten_Max_Row, COLUMN())))</f>
        <v>0</v>
      </c>
      <c r="EP33" s="20" cm="1">
        <f t="array" aca="1" ref="EP33" ca="1">SUM(INDIRECT(ADDRESS(Fixkosten_Min_Row,COLUMN()) &amp; ":" &amp; ADDRESS(Fixkosten_Max_Row, COLUMN())))</f>
        <v>0</v>
      </c>
      <c r="EQ33" s="20" cm="1">
        <f t="array" aca="1" ref="EQ33" ca="1">SUM(INDIRECT(ADDRESS(Fixkosten_Min_Row,COLUMN()) &amp; ":" &amp; ADDRESS(Fixkosten_Max_Row, COLUMN())))</f>
        <v>0</v>
      </c>
      <c r="ER33" s="20" cm="1">
        <f t="array" aca="1" ref="ER33" ca="1">SUM(INDIRECT(ADDRESS(Fixkosten_Min_Row,COLUMN()) &amp; ":" &amp; ADDRESS(Fixkosten_Max_Row, COLUMN())))</f>
        <v>0</v>
      </c>
      <c r="ES33" s="20" cm="1">
        <f t="array" aca="1" ref="ES33" ca="1">SUM(INDIRECT(ADDRESS(Fixkosten_Min_Row,COLUMN()) &amp; ":" &amp; ADDRESS(Fixkosten_Max_Row, COLUMN())))</f>
        <v>0</v>
      </c>
      <c r="ET33" s="20" cm="1">
        <f t="array" aca="1" ref="ET33" ca="1">SUM(INDIRECT(ADDRESS(Fixkosten_Min_Row,COLUMN()) &amp; ":" &amp; ADDRESS(Fixkosten_Max_Row, COLUMN())))</f>
        <v>0</v>
      </c>
      <c r="EU33" s="20" cm="1">
        <f t="array" aca="1" ref="EU33" ca="1">SUM(INDIRECT(ADDRESS(Fixkosten_Min_Row,COLUMN()) &amp; ":" &amp; ADDRESS(Fixkosten_Max_Row, COLUMN())))</f>
        <v>0</v>
      </c>
      <c r="EV33" s="20" cm="1">
        <f t="array" aca="1" ref="EV33" ca="1">SUM(INDIRECT(ADDRESS(Fixkosten_Min_Row,COLUMN()) &amp; ":" &amp; ADDRESS(Fixkosten_Max_Row, COLUMN())))</f>
        <v>0</v>
      </c>
      <c r="EW33" s="20" cm="1">
        <f t="array" aca="1" ref="EW33" ca="1">SUM(INDIRECT(ADDRESS(Fixkosten_Min_Row,COLUMN()) &amp; ":" &amp; ADDRESS(Fixkosten_Max_Row, COLUMN())))</f>
        <v>0</v>
      </c>
      <c r="EX33" s="20" cm="1">
        <f t="array" aca="1" ref="EX33" ca="1">SUM(INDIRECT(ADDRESS(Fixkosten_Min_Row,COLUMN()) &amp; ":" &amp; ADDRESS(Fixkosten_Max_Row, COLUMN())))</f>
        <v>0</v>
      </c>
      <c r="EY33" s="20" cm="1">
        <f t="array" aca="1" ref="EY33" ca="1">SUM(INDIRECT(ADDRESS(Fixkosten_Min_Row,COLUMN()) &amp; ":" &amp; ADDRESS(Fixkosten_Max_Row, COLUMN())))</f>
        <v>0</v>
      </c>
      <c r="EZ33" s="20" cm="1">
        <f t="array" aca="1" ref="EZ33" ca="1">SUM(INDIRECT(ADDRESS(Fixkosten_Min_Row,COLUMN()) &amp; ":" &amp; ADDRESS(Fixkosten_Max_Row, COLUMN())))</f>
        <v>0</v>
      </c>
      <c r="FA33" s="20" cm="1">
        <f t="array" aca="1" ref="FA33" ca="1">SUM(INDIRECT(ADDRESS(Fixkosten_Min_Row,COLUMN()) &amp; ":" &amp; ADDRESS(Fixkosten_Max_Row, COLUMN())))</f>
        <v>0</v>
      </c>
    </row>
    <row r="35" spans="3:157" x14ac:dyDescent="0.3">
      <c r="C35" s="28" t="s">
        <v>27</v>
      </c>
      <c r="E35" s="29">
        <f>DATE(E$5,1,1)</f>
        <v>1</v>
      </c>
      <c r="F35" s="29">
        <f>DATE(E$5,2,1)</f>
        <v>32</v>
      </c>
      <c r="G35" s="29">
        <f>DATE(E$5,3,1)</f>
        <v>61</v>
      </c>
      <c r="H35" s="29">
        <f>DATE(E$5,4,1)</f>
        <v>92</v>
      </c>
      <c r="I35" s="29">
        <f>DATE(E$5,5,1)</f>
        <v>122</v>
      </c>
      <c r="J35" s="29">
        <f>DATE(E$5,6,1)</f>
        <v>153</v>
      </c>
      <c r="K35" s="29">
        <f>DATE(E$5,7,1)</f>
        <v>183</v>
      </c>
      <c r="L35" s="29">
        <f>DATE(E$5,8,1)</f>
        <v>214</v>
      </c>
      <c r="M35" s="29">
        <f>DATE(E$5,9,1)</f>
        <v>245</v>
      </c>
      <c r="N35" s="29">
        <f>DATE(E$5,10,1)</f>
        <v>275</v>
      </c>
      <c r="O35" s="29">
        <f>DATE(E$5,11,1)</f>
        <v>306</v>
      </c>
      <c r="P35" s="29">
        <f>DATE(E$5,12,1)</f>
        <v>336</v>
      </c>
      <c r="Q35" s="30">
        <f>E$5</f>
        <v>0</v>
      </c>
      <c r="S35" s="29">
        <f>DATE(S$5,1,1)</f>
        <v>367</v>
      </c>
      <c r="T35" s="29">
        <f>DATE(S$5,2,1)</f>
        <v>398</v>
      </c>
      <c r="U35" s="29">
        <f>DATE(S$5,3,1)</f>
        <v>426</v>
      </c>
      <c r="V35" s="29">
        <f>DATE(S$5,4,1)</f>
        <v>457</v>
      </c>
      <c r="W35" s="29">
        <f>DATE(S$5,5,1)</f>
        <v>487</v>
      </c>
      <c r="X35" s="29">
        <f>DATE(S$5,6,1)</f>
        <v>518</v>
      </c>
      <c r="Y35" s="29">
        <f>DATE(S$5,7,1)</f>
        <v>548</v>
      </c>
      <c r="Z35" s="29">
        <f>DATE(S$5,8,1)</f>
        <v>579</v>
      </c>
      <c r="AA35" s="29">
        <f>DATE(S$5,9,1)</f>
        <v>610</v>
      </c>
      <c r="AB35" s="29">
        <f>DATE(S$5,10,1)</f>
        <v>640</v>
      </c>
      <c r="AC35" s="29">
        <f>DATE(S$5,11,1)</f>
        <v>671</v>
      </c>
      <c r="AD35" s="29">
        <f>DATE(S$5,12,1)</f>
        <v>701</v>
      </c>
      <c r="AE35" s="30">
        <f>S$5</f>
        <v>1</v>
      </c>
      <c r="AG35" s="29">
        <f t="shared" ref="AG35" si="393">DATE(AG$5,1,1)</f>
        <v>732</v>
      </c>
      <c r="AH35" s="29">
        <f t="shared" ref="AH35" si="394">DATE(AG$5,2,1)</f>
        <v>763</v>
      </c>
      <c r="AI35" s="29">
        <f t="shared" ref="AI35" si="395">DATE(AG$5,3,1)</f>
        <v>791</v>
      </c>
      <c r="AJ35" s="29">
        <f t="shared" ref="AJ35" si="396">DATE(AG$5,4,1)</f>
        <v>822</v>
      </c>
      <c r="AK35" s="29">
        <f t="shared" ref="AK35" si="397">DATE(AG$5,5,1)</f>
        <v>852</v>
      </c>
      <c r="AL35" s="29">
        <f t="shared" ref="AL35" si="398">DATE(AG$5,6,1)</f>
        <v>883</v>
      </c>
      <c r="AM35" s="29">
        <f t="shared" ref="AM35" si="399">DATE(AG$5,7,1)</f>
        <v>913</v>
      </c>
      <c r="AN35" s="29">
        <f t="shared" ref="AN35" si="400">DATE(AG$5,8,1)</f>
        <v>944</v>
      </c>
      <c r="AO35" s="29">
        <f t="shared" ref="AO35" si="401">DATE(AG$5,9,1)</f>
        <v>975</v>
      </c>
      <c r="AP35" s="29">
        <f t="shared" ref="AP35" si="402">DATE(AG$5,10,1)</f>
        <v>1005</v>
      </c>
      <c r="AQ35" s="29">
        <f t="shared" ref="AQ35" si="403">DATE(AG$5,11,1)</f>
        <v>1036</v>
      </c>
      <c r="AR35" s="29">
        <f t="shared" ref="AR35" si="404">DATE(AG$5,12,1)</f>
        <v>1066</v>
      </c>
      <c r="AS35" s="30">
        <f t="shared" ref="AS35" si="405">AG$5</f>
        <v>2</v>
      </c>
      <c r="AU35" s="29">
        <f t="shared" ref="AU35" si="406">DATE(AU$5,1,1)</f>
        <v>1097</v>
      </c>
      <c r="AV35" s="29">
        <f t="shared" ref="AV35" si="407">DATE(AU$5,2,1)</f>
        <v>1128</v>
      </c>
      <c r="AW35" s="29">
        <f t="shared" ref="AW35" si="408">DATE(AU$5,3,1)</f>
        <v>1156</v>
      </c>
      <c r="AX35" s="29">
        <f t="shared" ref="AX35" si="409">DATE(AU$5,4,1)</f>
        <v>1187</v>
      </c>
      <c r="AY35" s="29">
        <f t="shared" ref="AY35" si="410">DATE(AU$5,5,1)</f>
        <v>1217</v>
      </c>
      <c r="AZ35" s="29">
        <f t="shared" ref="AZ35" si="411">DATE(AU$5,6,1)</f>
        <v>1248</v>
      </c>
      <c r="BA35" s="29">
        <f t="shared" ref="BA35" si="412">DATE(AU$5,7,1)</f>
        <v>1278</v>
      </c>
      <c r="BB35" s="29">
        <f t="shared" ref="BB35" si="413">DATE(AU$5,8,1)</f>
        <v>1309</v>
      </c>
      <c r="BC35" s="29">
        <f t="shared" ref="BC35" si="414">DATE(AU$5,9,1)</f>
        <v>1340</v>
      </c>
      <c r="BD35" s="29">
        <f t="shared" ref="BD35" si="415">DATE(AU$5,10,1)</f>
        <v>1370</v>
      </c>
      <c r="BE35" s="29">
        <f t="shared" ref="BE35" si="416">DATE(AU$5,11,1)</f>
        <v>1401</v>
      </c>
      <c r="BF35" s="29">
        <f t="shared" ref="BF35" si="417">DATE(AU$5,12,1)</f>
        <v>1431</v>
      </c>
      <c r="BG35" s="30">
        <f t="shared" ref="BG35" si="418">AU$5</f>
        <v>3</v>
      </c>
      <c r="BI35" s="29">
        <f t="shared" ref="BI35" si="419">DATE(BI$5,1,1)</f>
        <v>1462</v>
      </c>
      <c r="BJ35" s="29">
        <f t="shared" ref="BJ35" si="420">DATE(BI$5,2,1)</f>
        <v>1493</v>
      </c>
      <c r="BK35" s="29">
        <f t="shared" ref="BK35" si="421">DATE(BI$5,3,1)</f>
        <v>1522</v>
      </c>
      <c r="BL35" s="29">
        <f t="shared" ref="BL35" si="422">DATE(BI$5,4,1)</f>
        <v>1553</v>
      </c>
      <c r="BM35" s="29">
        <f t="shared" ref="BM35" si="423">DATE(BI$5,5,1)</f>
        <v>1583</v>
      </c>
      <c r="BN35" s="29">
        <f t="shared" ref="BN35" si="424">DATE(BI$5,6,1)</f>
        <v>1614</v>
      </c>
      <c r="BO35" s="29">
        <f t="shared" ref="BO35" si="425">DATE(BI$5,7,1)</f>
        <v>1644</v>
      </c>
      <c r="BP35" s="29">
        <f t="shared" ref="BP35" si="426">DATE(BI$5,8,1)</f>
        <v>1675</v>
      </c>
      <c r="BQ35" s="29">
        <f t="shared" ref="BQ35" si="427">DATE(BI$5,9,1)</f>
        <v>1706</v>
      </c>
      <c r="BR35" s="29">
        <f t="shared" ref="BR35" si="428">DATE(BI$5,10,1)</f>
        <v>1736</v>
      </c>
      <c r="BS35" s="29">
        <f t="shared" ref="BS35" si="429">DATE(BI$5,11,1)</f>
        <v>1767</v>
      </c>
      <c r="BT35" s="29">
        <f t="shared" ref="BT35" si="430">DATE(BI$5,12,1)</f>
        <v>1797</v>
      </c>
      <c r="BU35" s="30">
        <f t="shared" ref="BU35" si="431">BI$5</f>
        <v>4</v>
      </c>
      <c r="BW35" s="29">
        <f t="shared" ref="BW35" si="432">DATE(BW$5,1,1)</f>
        <v>1828</v>
      </c>
      <c r="BX35" s="29">
        <f t="shared" ref="BX35" si="433">DATE(BW$5,2,1)</f>
        <v>1859</v>
      </c>
      <c r="BY35" s="29">
        <f t="shared" ref="BY35" si="434">DATE(BW$5,3,1)</f>
        <v>1887</v>
      </c>
      <c r="BZ35" s="29">
        <f t="shared" ref="BZ35" si="435">DATE(BW$5,4,1)</f>
        <v>1918</v>
      </c>
      <c r="CA35" s="29">
        <f t="shared" ref="CA35" si="436">DATE(BW$5,5,1)</f>
        <v>1948</v>
      </c>
      <c r="CB35" s="29">
        <f t="shared" ref="CB35" si="437">DATE(BW$5,6,1)</f>
        <v>1979</v>
      </c>
      <c r="CC35" s="29">
        <f t="shared" ref="CC35" si="438">DATE(BW$5,7,1)</f>
        <v>2009</v>
      </c>
      <c r="CD35" s="29">
        <f t="shared" ref="CD35" si="439">DATE(BW$5,8,1)</f>
        <v>2040</v>
      </c>
      <c r="CE35" s="29">
        <f t="shared" ref="CE35" si="440">DATE(BW$5,9,1)</f>
        <v>2071</v>
      </c>
      <c r="CF35" s="29">
        <f t="shared" ref="CF35" si="441">DATE(BW$5,10,1)</f>
        <v>2101</v>
      </c>
      <c r="CG35" s="29">
        <f t="shared" ref="CG35" si="442">DATE(BW$5,11,1)</f>
        <v>2132</v>
      </c>
      <c r="CH35" s="29">
        <f t="shared" ref="CH35" si="443">DATE(BW$5,12,1)</f>
        <v>2162</v>
      </c>
      <c r="CI35" s="30">
        <f t="shared" ref="CI35" si="444">BW$5</f>
        <v>5</v>
      </c>
      <c r="CK35" s="29">
        <f t="shared" ref="CK35" si="445">DATE(CK$5,1,1)</f>
        <v>2193</v>
      </c>
      <c r="CL35" s="29">
        <f t="shared" ref="CL35" si="446">DATE(CK$5,2,1)</f>
        <v>2224</v>
      </c>
      <c r="CM35" s="29">
        <f t="shared" ref="CM35" si="447">DATE(CK$5,3,1)</f>
        <v>2252</v>
      </c>
      <c r="CN35" s="29">
        <f t="shared" ref="CN35" si="448">DATE(CK$5,4,1)</f>
        <v>2283</v>
      </c>
      <c r="CO35" s="29">
        <f t="shared" ref="CO35" si="449">DATE(CK$5,5,1)</f>
        <v>2313</v>
      </c>
      <c r="CP35" s="29">
        <f t="shared" ref="CP35" si="450">DATE(CK$5,6,1)</f>
        <v>2344</v>
      </c>
      <c r="CQ35" s="29">
        <f t="shared" ref="CQ35" si="451">DATE(CK$5,7,1)</f>
        <v>2374</v>
      </c>
      <c r="CR35" s="29">
        <f t="shared" ref="CR35" si="452">DATE(CK$5,8,1)</f>
        <v>2405</v>
      </c>
      <c r="CS35" s="29">
        <f t="shared" ref="CS35" si="453">DATE(CK$5,9,1)</f>
        <v>2436</v>
      </c>
      <c r="CT35" s="29">
        <f t="shared" ref="CT35" si="454">DATE(CK$5,10,1)</f>
        <v>2466</v>
      </c>
      <c r="CU35" s="29">
        <f t="shared" ref="CU35" si="455">DATE(CK$5,11,1)</f>
        <v>2497</v>
      </c>
      <c r="CV35" s="29">
        <f t="shared" ref="CV35" si="456">DATE(CK$5,12,1)</f>
        <v>2527</v>
      </c>
      <c r="CW35" s="30">
        <f t="shared" ref="CW35" si="457">CK$5</f>
        <v>6</v>
      </c>
      <c r="CY35" s="29">
        <f t="shared" ref="CY35" si="458">DATE(CY$5,1,1)</f>
        <v>2558</v>
      </c>
      <c r="CZ35" s="29">
        <f t="shared" ref="CZ35" si="459">DATE(CY$5,2,1)</f>
        <v>2589</v>
      </c>
      <c r="DA35" s="29">
        <f t="shared" ref="DA35" si="460">DATE(CY$5,3,1)</f>
        <v>2617</v>
      </c>
      <c r="DB35" s="29">
        <f t="shared" ref="DB35" si="461">DATE(CY$5,4,1)</f>
        <v>2648</v>
      </c>
      <c r="DC35" s="29">
        <f t="shared" ref="DC35" si="462">DATE(CY$5,5,1)</f>
        <v>2678</v>
      </c>
      <c r="DD35" s="29">
        <f t="shared" ref="DD35" si="463">DATE(CY$5,6,1)</f>
        <v>2709</v>
      </c>
      <c r="DE35" s="29">
        <f t="shared" ref="DE35" si="464">DATE(CY$5,7,1)</f>
        <v>2739</v>
      </c>
      <c r="DF35" s="29">
        <f t="shared" ref="DF35" si="465">DATE(CY$5,8,1)</f>
        <v>2770</v>
      </c>
      <c r="DG35" s="29">
        <f t="shared" ref="DG35" si="466">DATE(CY$5,9,1)</f>
        <v>2801</v>
      </c>
      <c r="DH35" s="29">
        <f t="shared" ref="DH35" si="467">DATE(CY$5,10,1)</f>
        <v>2831</v>
      </c>
      <c r="DI35" s="29">
        <f t="shared" ref="DI35" si="468">DATE(CY$5,11,1)</f>
        <v>2862</v>
      </c>
      <c r="DJ35" s="29">
        <f t="shared" ref="DJ35" si="469">DATE(CY$5,12,1)</f>
        <v>2892</v>
      </c>
      <c r="DK35" s="30">
        <f t="shared" ref="DK35" si="470">CY$5</f>
        <v>7</v>
      </c>
      <c r="DM35" s="29">
        <f t="shared" ref="DM35" si="471">DATE(DM$5,1,1)</f>
        <v>2923</v>
      </c>
      <c r="DN35" s="29">
        <f t="shared" ref="DN35" si="472">DATE(DM$5,2,1)</f>
        <v>2954</v>
      </c>
      <c r="DO35" s="29">
        <f t="shared" ref="DO35" si="473">DATE(DM$5,3,1)</f>
        <v>2983</v>
      </c>
      <c r="DP35" s="29">
        <f t="shared" ref="DP35" si="474">DATE(DM$5,4,1)</f>
        <v>3014</v>
      </c>
      <c r="DQ35" s="29">
        <f t="shared" ref="DQ35" si="475">DATE(DM$5,5,1)</f>
        <v>3044</v>
      </c>
      <c r="DR35" s="29">
        <f t="shared" ref="DR35" si="476">DATE(DM$5,6,1)</f>
        <v>3075</v>
      </c>
      <c r="DS35" s="29">
        <f t="shared" ref="DS35" si="477">DATE(DM$5,7,1)</f>
        <v>3105</v>
      </c>
      <c r="DT35" s="29">
        <f t="shared" ref="DT35" si="478">DATE(DM$5,8,1)</f>
        <v>3136</v>
      </c>
      <c r="DU35" s="29">
        <f t="shared" ref="DU35" si="479">DATE(DM$5,9,1)</f>
        <v>3167</v>
      </c>
      <c r="DV35" s="29">
        <f t="shared" ref="DV35" si="480">DATE(DM$5,10,1)</f>
        <v>3197</v>
      </c>
      <c r="DW35" s="29">
        <f t="shared" ref="DW35" si="481">DATE(DM$5,11,1)</f>
        <v>3228</v>
      </c>
      <c r="DX35" s="29">
        <f t="shared" ref="DX35" si="482">DATE(DM$5,12,1)</f>
        <v>3258</v>
      </c>
      <c r="DY35" s="30">
        <f t="shared" ref="DY35" si="483">DM$5</f>
        <v>8</v>
      </c>
      <c r="EA35" s="29">
        <f t="shared" ref="EA35" si="484">DATE(EA$5,1,1)</f>
        <v>3289</v>
      </c>
      <c r="EB35" s="29">
        <f t="shared" ref="EB35" si="485">DATE(EA$5,2,1)</f>
        <v>3320</v>
      </c>
      <c r="EC35" s="29">
        <f t="shared" ref="EC35" si="486">DATE(EA$5,3,1)</f>
        <v>3348</v>
      </c>
      <c r="ED35" s="29">
        <f t="shared" ref="ED35" si="487">DATE(EA$5,4,1)</f>
        <v>3379</v>
      </c>
      <c r="EE35" s="29">
        <f t="shared" ref="EE35" si="488">DATE(EA$5,5,1)</f>
        <v>3409</v>
      </c>
      <c r="EF35" s="29">
        <f t="shared" ref="EF35" si="489">DATE(EA$5,6,1)</f>
        <v>3440</v>
      </c>
      <c r="EG35" s="29">
        <f t="shared" ref="EG35" si="490">DATE(EA$5,7,1)</f>
        <v>3470</v>
      </c>
      <c r="EH35" s="29">
        <f t="shared" ref="EH35" si="491">DATE(EA$5,8,1)</f>
        <v>3501</v>
      </c>
      <c r="EI35" s="29">
        <f t="shared" ref="EI35" si="492">DATE(EA$5,9,1)</f>
        <v>3532</v>
      </c>
      <c r="EJ35" s="29">
        <f t="shared" ref="EJ35" si="493">DATE(EA$5,10,1)</f>
        <v>3562</v>
      </c>
      <c r="EK35" s="29">
        <f t="shared" ref="EK35" si="494">DATE(EA$5,11,1)</f>
        <v>3593</v>
      </c>
      <c r="EL35" s="29">
        <f t="shared" ref="EL35" si="495">DATE(EA$5,12,1)</f>
        <v>3623</v>
      </c>
      <c r="EM35" s="30">
        <f t="shared" ref="EM35" si="496">EA$5</f>
        <v>9</v>
      </c>
      <c r="EO35" s="29">
        <f t="shared" ref="EO35" si="497">DATE(EO$5,1,1)</f>
        <v>3654</v>
      </c>
      <c r="EP35" s="29">
        <f t="shared" ref="EP35" si="498">DATE(EO$5,2,1)</f>
        <v>3685</v>
      </c>
      <c r="EQ35" s="29">
        <f t="shared" ref="EQ35" si="499">DATE(EO$5,3,1)</f>
        <v>3713</v>
      </c>
      <c r="ER35" s="29">
        <f t="shared" ref="ER35" si="500">DATE(EO$5,4,1)</f>
        <v>3744</v>
      </c>
      <c r="ES35" s="29">
        <f t="shared" ref="ES35" si="501">DATE(EO$5,5,1)</f>
        <v>3774</v>
      </c>
      <c r="ET35" s="29">
        <f t="shared" ref="ET35" si="502">DATE(EO$5,6,1)</f>
        <v>3805</v>
      </c>
      <c r="EU35" s="29">
        <f t="shared" ref="EU35" si="503">DATE(EO$5,7,1)</f>
        <v>3835</v>
      </c>
      <c r="EV35" s="29">
        <f t="shared" ref="EV35" si="504">DATE(EO$5,8,1)</f>
        <v>3866</v>
      </c>
      <c r="EW35" s="29">
        <f t="shared" ref="EW35" si="505">DATE(EO$5,9,1)</f>
        <v>3897</v>
      </c>
      <c r="EX35" s="29">
        <f t="shared" ref="EX35" si="506">DATE(EO$5,10,1)</f>
        <v>3927</v>
      </c>
      <c r="EY35" s="29">
        <f t="shared" ref="EY35" si="507">DATE(EO$5,11,1)</f>
        <v>3958</v>
      </c>
      <c r="EZ35" s="29">
        <f t="shared" ref="EZ35" si="508">DATE(EO$5,12,1)</f>
        <v>3988</v>
      </c>
      <c r="FA35" s="30">
        <f t="shared" ref="FA35" si="509">EO$5</f>
        <v>10</v>
      </c>
    </row>
    <row r="36" spans="3:157" x14ac:dyDescent="0.3">
      <c r="C36" s="18" t="s">
        <v>30</v>
      </c>
      <c r="E36" s="19"/>
      <c r="F36" s="19"/>
      <c r="G36" s="19"/>
      <c r="H36" s="19"/>
      <c r="I36" s="19"/>
      <c r="J36" s="19"/>
      <c r="K36" s="19"/>
      <c r="L36" s="19"/>
      <c r="M36" s="19"/>
      <c r="N36" s="19"/>
      <c r="O36" s="19"/>
      <c r="P36" s="19"/>
      <c r="Q36" s="21">
        <f>SUM(E36:P36)</f>
        <v>0</v>
      </c>
      <c r="S36" s="19"/>
      <c r="T36" s="19"/>
      <c r="U36" s="19"/>
      <c r="V36" s="19"/>
      <c r="W36" s="19"/>
      <c r="X36" s="19"/>
      <c r="Y36" s="19"/>
      <c r="Z36" s="19"/>
      <c r="AA36" s="19"/>
      <c r="AB36" s="19"/>
      <c r="AC36" s="19"/>
      <c r="AD36" s="19"/>
      <c r="AE36" s="21">
        <f>SUM(S36:AD36)</f>
        <v>0</v>
      </c>
      <c r="AG36" s="19"/>
      <c r="AH36" s="19"/>
      <c r="AI36" s="19"/>
      <c r="AJ36" s="19"/>
      <c r="AK36" s="19"/>
      <c r="AL36" s="19"/>
      <c r="AM36" s="19"/>
      <c r="AN36" s="19"/>
      <c r="AO36" s="19"/>
      <c r="AP36" s="19"/>
      <c r="AQ36" s="19"/>
      <c r="AR36" s="19"/>
      <c r="AS36" s="21">
        <f t="shared" ref="AS36:AS45" si="510">SUM(AG36:AR36)</f>
        <v>0</v>
      </c>
      <c r="AU36" s="19"/>
      <c r="AV36" s="19"/>
      <c r="AW36" s="19"/>
      <c r="AX36" s="19"/>
      <c r="AY36" s="19"/>
      <c r="AZ36" s="19"/>
      <c r="BA36" s="19"/>
      <c r="BB36" s="19"/>
      <c r="BC36" s="19"/>
      <c r="BD36" s="19"/>
      <c r="BE36" s="19"/>
      <c r="BF36" s="19"/>
      <c r="BG36" s="21">
        <f t="shared" ref="BG36:BG45" si="511">SUM(AU36:BF36)</f>
        <v>0</v>
      </c>
      <c r="BI36" s="19"/>
      <c r="BJ36" s="19"/>
      <c r="BK36" s="19"/>
      <c r="BL36" s="19"/>
      <c r="BM36" s="19"/>
      <c r="BN36" s="19"/>
      <c r="BO36" s="19"/>
      <c r="BP36" s="19"/>
      <c r="BQ36" s="19"/>
      <c r="BR36" s="19"/>
      <c r="BS36" s="19"/>
      <c r="BT36" s="19"/>
      <c r="BU36" s="21">
        <f t="shared" ref="BU36:BU45" si="512">SUM(BI36:BT36)</f>
        <v>0</v>
      </c>
      <c r="BW36" s="19"/>
      <c r="BX36" s="19"/>
      <c r="BY36" s="19"/>
      <c r="BZ36" s="19"/>
      <c r="CA36" s="19"/>
      <c r="CB36" s="19"/>
      <c r="CC36" s="19"/>
      <c r="CD36" s="19"/>
      <c r="CE36" s="19"/>
      <c r="CF36" s="19"/>
      <c r="CG36" s="19"/>
      <c r="CH36" s="19"/>
      <c r="CI36" s="21">
        <f t="shared" ref="CI36:CI45" si="513">SUM(BW36:CH36)</f>
        <v>0</v>
      </c>
      <c r="CK36" s="19"/>
      <c r="CL36" s="19"/>
      <c r="CM36" s="19"/>
      <c r="CN36" s="19"/>
      <c r="CO36" s="19"/>
      <c r="CP36" s="19"/>
      <c r="CQ36" s="19"/>
      <c r="CR36" s="19"/>
      <c r="CS36" s="19"/>
      <c r="CT36" s="19"/>
      <c r="CU36" s="19"/>
      <c r="CV36" s="19"/>
      <c r="CW36" s="21">
        <f t="shared" ref="CW36:CW45" si="514">SUM(CK36:CV36)</f>
        <v>0</v>
      </c>
      <c r="CY36" s="19"/>
      <c r="CZ36" s="19"/>
      <c r="DA36" s="19"/>
      <c r="DB36" s="19"/>
      <c r="DC36" s="19"/>
      <c r="DD36" s="19"/>
      <c r="DE36" s="19"/>
      <c r="DF36" s="19"/>
      <c r="DG36" s="19"/>
      <c r="DH36" s="19"/>
      <c r="DI36" s="19"/>
      <c r="DJ36" s="19"/>
      <c r="DK36" s="21">
        <f t="shared" ref="DK36:DK45" si="515">SUM(CY36:DJ36)</f>
        <v>0</v>
      </c>
      <c r="DM36" s="19"/>
      <c r="DN36" s="19"/>
      <c r="DO36" s="19"/>
      <c r="DP36" s="19"/>
      <c r="DQ36" s="19"/>
      <c r="DR36" s="19"/>
      <c r="DS36" s="19"/>
      <c r="DT36" s="19"/>
      <c r="DU36" s="19"/>
      <c r="DV36" s="19"/>
      <c r="DW36" s="19"/>
      <c r="DX36" s="19"/>
      <c r="DY36" s="21">
        <f t="shared" ref="DY36:DY45" si="516">SUM(DM36:DX36)</f>
        <v>0</v>
      </c>
      <c r="EA36" s="19"/>
      <c r="EB36" s="19"/>
      <c r="EC36" s="19"/>
      <c r="ED36" s="19"/>
      <c r="EE36" s="19"/>
      <c r="EF36" s="19"/>
      <c r="EG36" s="19"/>
      <c r="EH36" s="19"/>
      <c r="EI36" s="19"/>
      <c r="EJ36" s="19"/>
      <c r="EK36" s="19"/>
      <c r="EL36" s="19"/>
      <c r="EM36" s="21">
        <f t="shared" ref="EM36:EM45" si="517">SUM(EA36:EL36)</f>
        <v>0</v>
      </c>
      <c r="EO36" s="19"/>
      <c r="EP36" s="19"/>
      <c r="EQ36" s="19"/>
      <c r="ER36" s="19"/>
      <c r="ES36" s="19"/>
      <c r="ET36" s="19"/>
      <c r="EU36" s="19"/>
      <c r="EV36" s="19"/>
      <c r="EW36" s="19"/>
      <c r="EX36" s="19"/>
      <c r="EY36" s="19"/>
      <c r="EZ36" s="19"/>
      <c r="FA36" s="21">
        <f t="shared" ref="FA36:FA45" si="518">SUM(EO36:EZ36)</f>
        <v>0</v>
      </c>
    </row>
    <row r="37" spans="3:157" x14ac:dyDescent="0.3">
      <c r="C37" s="18" t="s">
        <v>31</v>
      </c>
      <c r="E37" s="19"/>
      <c r="F37" s="19"/>
      <c r="G37" s="19"/>
      <c r="H37" s="19"/>
      <c r="I37" s="19"/>
      <c r="J37" s="19"/>
      <c r="K37" s="19"/>
      <c r="L37" s="19"/>
      <c r="M37" s="19"/>
      <c r="N37" s="19"/>
      <c r="O37" s="19"/>
      <c r="P37" s="19"/>
      <c r="Q37" s="21">
        <f t="shared" ref="Q37:Q45" si="519">SUM(E37:P37)</f>
        <v>0</v>
      </c>
      <c r="S37" s="19"/>
      <c r="T37" s="19"/>
      <c r="U37" s="19"/>
      <c r="V37" s="19"/>
      <c r="W37" s="19"/>
      <c r="X37" s="19"/>
      <c r="Y37" s="19"/>
      <c r="Z37" s="19"/>
      <c r="AA37" s="19"/>
      <c r="AB37" s="19"/>
      <c r="AC37" s="19"/>
      <c r="AD37" s="19"/>
      <c r="AE37" s="21">
        <f t="shared" ref="AE37:AE45" si="520">SUM(S37:AD37)</f>
        <v>0</v>
      </c>
      <c r="AG37" s="19"/>
      <c r="AH37" s="19"/>
      <c r="AI37" s="19"/>
      <c r="AJ37" s="19"/>
      <c r="AK37" s="19"/>
      <c r="AL37" s="19"/>
      <c r="AM37" s="19"/>
      <c r="AN37" s="19"/>
      <c r="AO37" s="19"/>
      <c r="AP37" s="19"/>
      <c r="AQ37" s="19"/>
      <c r="AR37" s="19"/>
      <c r="AS37" s="21">
        <f t="shared" si="510"/>
        <v>0</v>
      </c>
      <c r="AU37" s="19"/>
      <c r="AV37" s="19"/>
      <c r="AW37" s="19"/>
      <c r="AX37" s="19"/>
      <c r="AY37" s="19"/>
      <c r="AZ37" s="19"/>
      <c r="BA37" s="19"/>
      <c r="BB37" s="19"/>
      <c r="BC37" s="19"/>
      <c r="BD37" s="19"/>
      <c r="BE37" s="19"/>
      <c r="BF37" s="19"/>
      <c r="BG37" s="21">
        <f t="shared" si="511"/>
        <v>0</v>
      </c>
      <c r="BI37" s="19"/>
      <c r="BJ37" s="19"/>
      <c r="BK37" s="19"/>
      <c r="BL37" s="19"/>
      <c r="BM37" s="19"/>
      <c r="BN37" s="19"/>
      <c r="BO37" s="19"/>
      <c r="BP37" s="19"/>
      <c r="BQ37" s="19"/>
      <c r="BR37" s="19"/>
      <c r="BS37" s="19"/>
      <c r="BT37" s="19"/>
      <c r="BU37" s="21">
        <f t="shared" si="512"/>
        <v>0</v>
      </c>
      <c r="BW37" s="19"/>
      <c r="BX37" s="19"/>
      <c r="BY37" s="19"/>
      <c r="BZ37" s="19"/>
      <c r="CA37" s="19"/>
      <c r="CB37" s="19"/>
      <c r="CC37" s="19"/>
      <c r="CD37" s="19"/>
      <c r="CE37" s="19"/>
      <c r="CF37" s="19"/>
      <c r="CG37" s="19"/>
      <c r="CH37" s="19"/>
      <c r="CI37" s="21">
        <f t="shared" si="513"/>
        <v>0</v>
      </c>
      <c r="CK37" s="19"/>
      <c r="CL37" s="19"/>
      <c r="CM37" s="19"/>
      <c r="CN37" s="19"/>
      <c r="CO37" s="19"/>
      <c r="CP37" s="19"/>
      <c r="CQ37" s="19"/>
      <c r="CR37" s="19"/>
      <c r="CS37" s="19"/>
      <c r="CT37" s="19"/>
      <c r="CU37" s="19"/>
      <c r="CV37" s="19"/>
      <c r="CW37" s="21">
        <f t="shared" si="514"/>
        <v>0</v>
      </c>
      <c r="CY37" s="19"/>
      <c r="CZ37" s="19"/>
      <c r="DA37" s="19"/>
      <c r="DB37" s="19"/>
      <c r="DC37" s="19"/>
      <c r="DD37" s="19"/>
      <c r="DE37" s="19"/>
      <c r="DF37" s="19"/>
      <c r="DG37" s="19"/>
      <c r="DH37" s="19"/>
      <c r="DI37" s="19"/>
      <c r="DJ37" s="19"/>
      <c r="DK37" s="21">
        <f t="shared" si="515"/>
        <v>0</v>
      </c>
      <c r="DM37" s="19"/>
      <c r="DN37" s="19"/>
      <c r="DO37" s="19"/>
      <c r="DP37" s="19"/>
      <c r="DQ37" s="19"/>
      <c r="DR37" s="19"/>
      <c r="DS37" s="19"/>
      <c r="DT37" s="19"/>
      <c r="DU37" s="19"/>
      <c r="DV37" s="19"/>
      <c r="DW37" s="19"/>
      <c r="DX37" s="19"/>
      <c r="DY37" s="21">
        <f t="shared" si="516"/>
        <v>0</v>
      </c>
      <c r="EA37" s="19"/>
      <c r="EB37" s="19"/>
      <c r="EC37" s="19"/>
      <c r="ED37" s="19"/>
      <c r="EE37" s="19"/>
      <c r="EF37" s="19"/>
      <c r="EG37" s="19"/>
      <c r="EH37" s="19"/>
      <c r="EI37" s="19"/>
      <c r="EJ37" s="19"/>
      <c r="EK37" s="19"/>
      <c r="EL37" s="19"/>
      <c r="EM37" s="21">
        <f t="shared" si="517"/>
        <v>0</v>
      </c>
      <c r="EO37" s="19"/>
      <c r="EP37" s="19"/>
      <c r="EQ37" s="19"/>
      <c r="ER37" s="19"/>
      <c r="ES37" s="19"/>
      <c r="ET37" s="19"/>
      <c r="EU37" s="19"/>
      <c r="EV37" s="19"/>
      <c r="EW37" s="19"/>
      <c r="EX37" s="19"/>
      <c r="EY37" s="19"/>
      <c r="EZ37" s="19"/>
      <c r="FA37" s="21">
        <f t="shared" si="518"/>
        <v>0</v>
      </c>
    </row>
    <row r="38" spans="3:157" x14ac:dyDescent="0.3">
      <c r="C38" s="18" t="s">
        <v>32</v>
      </c>
      <c r="E38" s="19"/>
      <c r="F38" s="19"/>
      <c r="G38" s="19"/>
      <c r="H38" s="19"/>
      <c r="I38" s="19"/>
      <c r="J38" s="19"/>
      <c r="K38" s="19"/>
      <c r="L38" s="19"/>
      <c r="M38" s="19"/>
      <c r="N38" s="19"/>
      <c r="O38" s="19"/>
      <c r="P38" s="19"/>
      <c r="Q38" s="21">
        <f t="shared" si="519"/>
        <v>0</v>
      </c>
      <c r="S38" s="19"/>
      <c r="T38" s="19"/>
      <c r="U38" s="19"/>
      <c r="V38" s="19"/>
      <c r="W38" s="19"/>
      <c r="X38" s="19"/>
      <c r="Y38" s="19"/>
      <c r="Z38" s="19"/>
      <c r="AA38" s="19"/>
      <c r="AB38" s="19"/>
      <c r="AC38" s="19"/>
      <c r="AD38" s="19"/>
      <c r="AE38" s="21">
        <f t="shared" si="520"/>
        <v>0</v>
      </c>
      <c r="AG38" s="19"/>
      <c r="AH38" s="19"/>
      <c r="AI38" s="19"/>
      <c r="AJ38" s="19"/>
      <c r="AK38" s="19"/>
      <c r="AL38" s="19"/>
      <c r="AM38" s="19"/>
      <c r="AN38" s="19"/>
      <c r="AO38" s="19"/>
      <c r="AP38" s="19"/>
      <c r="AQ38" s="19"/>
      <c r="AR38" s="19"/>
      <c r="AS38" s="21">
        <f t="shared" si="510"/>
        <v>0</v>
      </c>
      <c r="AU38" s="19"/>
      <c r="AV38" s="19"/>
      <c r="AW38" s="19"/>
      <c r="AX38" s="19"/>
      <c r="AY38" s="19"/>
      <c r="AZ38" s="19"/>
      <c r="BA38" s="19"/>
      <c r="BB38" s="19"/>
      <c r="BC38" s="19"/>
      <c r="BD38" s="19"/>
      <c r="BE38" s="19"/>
      <c r="BF38" s="19"/>
      <c r="BG38" s="21">
        <f t="shared" si="511"/>
        <v>0</v>
      </c>
      <c r="BI38" s="19"/>
      <c r="BJ38" s="19"/>
      <c r="BK38" s="19"/>
      <c r="BL38" s="19"/>
      <c r="BM38" s="19"/>
      <c r="BN38" s="19"/>
      <c r="BO38" s="19"/>
      <c r="BP38" s="19"/>
      <c r="BQ38" s="19"/>
      <c r="BR38" s="19"/>
      <c r="BS38" s="19"/>
      <c r="BT38" s="19"/>
      <c r="BU38" s="21">
        <f t="shared" si="512"/>
        <v>0</v>
      </c>
      <c r="BW38" s="19"/>
      <c r="BX38" s="19"/>
      <c r="BY38" s="19"/>
      <c r="BZ38" s="19"/>
      <c r="CA38" s="19"/>
      <c r="CB38" s="19"/>
      <c r="CC38" s="19"/>
      <c r="CD38" s="19"/>
      <c r="CE38" s="19"/>
      <c r="CF38" s="19"/>
      <c r="CG38" s="19"/>
      <c r="CH38" s="19"/>
      <c r="CI38" s="21">
        <f t="shared" si="513"/>
        <v>0</v>
      </c>
      <c r="CK38" s="19"/>
      <c r="CL38" s="19"/>
      <c r="CM38" s="19"/>
      <c r="CN38" s="19"/>
      <c r="CO38" s="19"/>
      <c r="CP38" s="19"/>
      <c r="CQ38" s="19"/>
      <c r="CR38" s="19"/>
      <c r="CS38" s="19"/>
      <c r="CT38" s="19"/>
      <c r="CU38" s="19"/>
      <c r="CV38" s="19"/>
      <c r="CW38" s="21">
        <f t="shared" si="514"/>
        <v>0</v>
      </c>
      <c r="CY38" s="19"/>
      <c r="CZ38" s="19"/>
      <c r="DA38" s="19"/>
      <c r="DB38" s="19"/>
      <c r="DC38" s="19"/>
      <c r="DD38" s="19"/>
      <c r="DE38" s="19"/>
      <c r="DF38" s="19"/>
      <c r="DG38" s="19"/>
      <c r="DH38" s="19"/>
      <c r="DI38" s="19"/>
      <c r="DJ38" s="19"/>
      <c r="DK38" s="21">
        <f t="shared" si="515"/>
        <v>0</v>
      </c>
      <c r="DM38" s="19"/>
      <c r="DN38" s="19"/>
      <c r="DO38" s="19"/>
      <c r="DP38" s="19"/>
      <c r="DQ38" s="19"/>
      <c r="DR38" s="19"/>
      <c r="DS38" s="19"/>
      <c r="DT38" s="19"/>
      <c r="DU38" s="19"/>
      <c r="DV38" s="19"/>
      <c r="DW38" s="19"/>
      <c r="DX38" s="19"/>
      <c r="DY38" s="21">
        <f t="shared" si="516"/>
        <v>0</v>
      </c>
      <c r="EA38" s="19"/>
      <c r="EB38" s="19"/>
      <c r="EC38" s="19"/>
      <c r="ED38" s="19"/>
      <c r="EE38" s="19"/>
      <c r="EF38" s="19"/>
      <c r="EG38" s="19"/>
      <c r="EH38" s="19"/>
      <c r="EI38" s="19"/>
      <c r="EJ38" s="19"/>
      <c r="EK38" s="19"/>
      <c r="EL38" s="19"/>
      <c r="EM38" s="21">
        <f t="shared" si="517"/>
        <v>0</v>
      </c>
      <c r="EO38" s="19"/>
      <c r="EP38" s="19"/>
      <c r="EQ38" s="19"/>
      <c r="ER38" s="19"/>
      <c r="ES38" s="19"/>
      <c r="ET38" s="19"/>
      <c r="EU38" s="19"/>
      <c r="EV38" s="19"/>
      <c r="EW38" s="19"/>
      <c r="EX38" s="19"/>
      <c r="EY38" s="19"/>
      <c r="EZ38" s="19"/>
      <c r="FA38" s="21">
        <f t="shared" si="518"/>
        <v>0</v>
      </c>
    </row>
    <row r="39" spans="3:157" x14ac:dyDescent="0.3">
      <c r="C39" s="18" t="s">
        <v>33</v>
      </c>
      <c r="E39" s="19"/>
      <c r="F39" s="19"/>
      <c r="G39" s="19"/>
      <c r="H39" s="19"/>
      <c r="I39" s="19"/>
      <c r="J39" s="19"/>
      <c r="K39" s="19"/>
      <c r="L39" s="19"/>
      <c r="M39" s="19"/>
      <c r="N39" s="19"/>
      <c r="O39" s="19"/>
      <c r="P39" s="19"/>
      <c r="Q39" s="21">
        <f t="shared" si="519"/>
        <v>0</v>
      </c>
      <c r="S39" s="19"/>
      <c r="T39" s="19"/>
      <c r="U39" s="19"/>
      <c r="V39" s="19"/>
      <c r="W39" s="19"/>
      <c r="X39" s="19"/>
      <c r="Y39" s="19"/>
      <c r="Z39" s="19"/>
      <c r="AA39" s="19"/>
      <c r="AB39" s="19"/>
      <c r="AC39" s="19"/>
      <c r="AD39" s="19"/>
      <c r="AE39" s="21">
        <f t="shared" si="520"/>
        <v>0</v>
      </c>
      <c r="AG39" s="19"/>
      <c r="AH39" s="19"/>
      <c r="AI39" s="19"/>
      <c r="AJ39" s="19"/>
      <c r="AK39" s="19"/>
      <c r="AL39" s="19"/>
      <c r="AM39" s="19"/>
      <c r="AN39" s="19"/>
      <c r="AO39" s="19"/>
      <c r="AP39" s="19"/>
      <c r="AQ39" s="19"/>
      <c r="AR39" s="19"/>
      <c r="AS39" s="21">
        <f t="shared" si="510"/>
        <v>0</v>
      </c>
      <c r="AU39" s="19"/>
      <c r="AV39" s="19"/>
      <c r="AW39" s="19"/>
      <c r="AX39" s="19"/>
      <c r="AY39" s="19"/>
      <c r="AZ39" s="19"/>
      <c r="BA39" s="19"/>
      <c r="BB39" s="19"/>
      <c r="BC39" s="19"/>
      <c r="BD39" s="19"/>
      <c r="BE39" s="19"/>
      <c r="BF39" s="19"/>
      <c r="BG39" s="21">
        <f t="shared" si="511"/>
        <v>0</v>
      </c>
      <c r="BI39" s="19"/>
      <c r="BJ39" s="19"/>
      <c r="BK39" s="19"/>
      <c r="BL39" s="19"/>
      <c r="BM39" s="19"/>
      <c r="BN39" s="19"/>
      <c r="BO39" s="19"/>
      <c r="BP39" s="19"/>
      <c r="BQ39" s="19"/>
      <c r="BR39" s="19"/>
      <c r="BS39" s="19"/>
      <c r="BT39" s="19"/>
      <c r="BU39" s="21">
        <f t="shared" si="512"/>
        <v>0</v>
      </c>
      <c r="BW39" s="19"/>
      <c r="BX39" s="19"/>
      <c r="BY39" s="19"/>
      <c r="BZ39" s="19"/>
      <c r="CA39" s="19"/>
      <c r="CB39" s="19"/>
      <c r="CC39" s="19"/>
      <c r="CD39" s="19"/>
      <c r="CE39" s="19"/>
      <c r="CF39" s="19"/>
      <c r="CG39" s="19"/>
      <c r="CH39" s="19"/>
      <c r="CI39" s="21">
        <f t="shared" si="513"/>
        <v>0</v>
      </c>
      <c r="CK39" s="19"/>
      <c r="CL39" s="19"/>
      <c r="CM39" s="19"/>
      <c r="CN39" s="19"/>
      <c r="CO39" s="19"/>
      <c r="CP39" s="19"/>
      <c r="CQ39" s="19"/>
      <c r="CR39" s="19"/>
      <c r="CS39" s="19"/>
      <c r="CT39" s="19"/>
      <c r="CU39" s="19"/>
      <c r="CV39" s="19"/>
      <c r="CW39" s="21">
        <f t="shared" si="514"/>
        <v>0</v>
      </c>
      <c r="CY39" s="19"/>
      <c r="CZ39" s="19"/>
      <c r="DA39" s="19"/>
      <c r="DB39" s="19"/>
      <c r="DC39" s="19"/>
      <c r="DD39" s="19"/>
      <c r="DE39" s="19"/>
      <c r="DF39" s="19"/>
      <c r="DG39" s="19"/>
      <c r="DH39" s="19"/>
      <c r="DI39" s="19"/>
      <c r="DJ39" s="19"/>
      <c r="DK39" s="21">
        <f t="shared" si="515"/>
        <v>0</v>
      </c>
      <c r="DM39" s="19"/>
      <c r="DN39" s="19"/>
      <c r="DO39" s="19"/>
      <c r="DP39" s="19"/>
      <c r="DQ39" s="19"/>
      <c r="DR39" s="19"/>
      <c r="DS39" s="19"/>
      <c r="DT39" s="19"/>
      <c r="DU39" s="19"/>
      <c r="DV39" s="19"/>
      <c r="DW39" s="19"/>
      <c r="DX39" s="19"/>
      <c r="DY39" s="21">
        <f t="shared" si="516"/>
        <v>0</v>
      </c>
      <c r="EA39" s="19"/>
      <c r="EB39" s="19"/>
      <c r="EC39" s="19"/>
      <c r="ED39" s="19"/>
      <c r="EE39" s="19"/>
      <c r="EF39" s="19"/>
      <c r="EG39" s="19"/>
      <c r="EH39" s="19"/>
      <c r="EI39" s="19"/>
      <c r="EJ39" s="19"/>
      <c r="EK39" s="19"/>
      <c r="EL39" s="19"/>
      <c r="EM39" s="21">
        <f t="shared" si="517"/>
        <v>0</v>
      </c>
      <c r="EO39" s="19"/>
      <c r="EP39" s="19"/>
      <c r="EQ39" s="19"/>
      <c r="ER39" s="19"/>
      <c r="ES39" s="19"/>
      <c r="ET39" s="19"/>
      <c r="EU39" s="19"/>
      <c r="EV39" s="19"/>
      <c r="EW39" s="19"/>
      <c r="EX39" s="19"/>
      <c r="EY39" s="19"/>
      <c r="EZ39" s="19"/>
      <c r="FA39" s="21">
        <f t="shared" si="518"/>
        <v>0</v>
      </c>
    </row>
    <row r="40" spans="3:157" x14ac:dyDescent="0.3">
      <c r="C40" s="18" t="s">
        <v>34</v>
      </c>
      <c r="E40" s="19"/>
      <c r="F40" s="19"/>
      <c r="G40" s="19"/>
      <c r="H40" s="19"/>
      <c r="I40" s="19"/>
      <c r="J40" s="19"/>
      <c r="K40" s="19"/>
      <c r="L40" s="19"/>
      <c r="M40" s="19"/>
      <c r="N40" s="19"/>
      <c r="O40" s="19"/>
      <c r="P40" s="19"/>
      <c r="Q40" s="21">
        <f t="shared" si="519"/>
        <v>0</v>
      </c>
      <c r="S40" s="19"/>
      <c r="T40" s="19"/>
      <c r="U40" s="19"/>
      <c r="V40" s="19"/>
      <c r="W40" s="19"/>
      <c r="X40" s="19"/>
      <c r="Y40" s="19"/>
      <c r="Z40" s="19"/>
      <c r="AA40" s="19"/>
      <c r="AB40" s="19"/>
      <c r="AC40" s="19"/>
      <c r="AD40" s="19"/>
      <c r="AE40" s="21">
        <f t="shared" si="520"/>
        <v>0</v>
      </c>
      <c r="AG40" s="19"/>
      <c r="AH40" s="19"/>
      <c r="AI40" s="19"/>
      <c r="AJ40" s="19"/>
      <c r="AK40" s="19"/>
      <c r="AL40" s="19"/>
      <c r="AM40" s="19"/>
      <c r="AN40" s="19"/>
      <c r="AO40" s="19"/>
      <c r="AP40" s="19"/>
      <c r="AQ40" s="19"/>
      <c r="AR40" s="19"/>
      <c r="AS40" s="21">
        <f t="shared" si="510"/>
        <v>0</v>
      </c>
      <c r="AU40" s="19"/>
      <c r="AV40" s="19"/>
      <c r="AW40" s="19"/>
      <c r="AX40" s="19"/>
      <c r="AY40" s="19"/>
      <c r="AZ40" s="19"/>
      <c r="BA40" s="19"/>
      <c r="BB40" s="19"/>
      <c r="BC40" s="19"/>
      <c r="BD40" s="19"/>
      <c r="BE40" s="19"/>
      <c r="BF40" s="19"/>
      <c r="BG40" s="21">
        <f t="shared" si="511"/>
        <v>0</v>
      </c>
      <c r="BI40" s="19"/>
      <c r="BJ40" s="19"/>
      <c r="BK40" s="19"/>
      <c r="BL40" s="19"/>
      <c r="BM40" s="19"/>
      <c r="BN40" s="19"/>
      <c r="BO40" s="19"/>
      <c r="BP40" s="19"/>
      <c r="BQ40" s="19"/>
      <c r="BR40" s="19"/>
      <c r="BS40" s="19"/>
      <c r="BT40" s="19"/>
      <c r="BU40" s="21">
        <f t="shared" si="512"/>
        <v>0</v>
      </c>
      <c r="BW40" s="19"/>
      <c r="BX40" s="19"/>
      <c r="BY40" s="19"/>
      <c r="BZ40" s="19"/>
      <c r="CA40" s="19"/>
      <c r="CB40" s="19"/>
      <c r="CC40" s="19"/>
      <c r="CD40" s="19"/>
      <c r="CE40" s="19"/>
      <c r="CF40" s="19"/>
      <c r="CG40" s="19"/>
      <c r="CH40" s="19"/>
      <c r="CI40" s="21">
        <f t="shared" si="513"/>
        <v>0</v>
      </c>
      <c r="CK40" s="19"/>
      <c r="CL40" s="19"/>
      <c r="CM40" s="19"/>
      <c r="CN40" s="19"/>
      <c r="CO40" s="19"/>
      <c r="CP40" s="19"/>
      <c r="CQ40" s="19"/>
      <c r="CR40" s="19"/>
      <c r="CS40" s="19"/>
      <c r="CT40" s="19"/>
      <c r="CU40" s="19"/>
      <c r="CV40" s="19"/>
      <c r="CW40" s="21">
        <f t="shared" si="514"/>
        <v>0</v>
      </c>
      <c r="CY40" s="19"/>
      <c r="CZ40" s="19"/>
      <c r="DA40" s="19"/>
      <c r="DB40" s="19"/>
      <c r="DC40" s="19"/>
      <c r="DD40" s="19"/>
      <c r="DE40" s="19"/>
      <c r="DF40" s="19"/>
      <c r="DG40" s="19"/>
      <c r="DH40" s="19"/>
      <c r="DI40" s="19"/>
      <c r="DJ40" s="19"/>
      <c r="DK40" s="21">
        <f t="shared" si="515"/>
        <v>0</v>
      </c>
      <c r="DM40" s="19"/>
      <c r="DN40" s="19"/>
      <c r="DO40" s="19"/>
      <c r="DP40" s="19"/>
      <c r="DQ40" s="19"/>
      <c r="DR40" s="19"/>
      <c r="DS40" s="19"/>
      <c r="DT40" s="19"/>
      <c r="DU40" s="19"/>
      <c r="DV40" s="19"/>
      <c r="DW40" s="19"/>
      <c r="DX40" s="19"/>
      <c r="DY40" s="21">
        <f t="shared" si="516"/>
        <v>0</v>
      </c>
      <c r="EA40" s="19"/>
      <c r="EB40" s="19"/>
      <c r="EC40" s="19"/>
      <c r="ED40" s="19"/>
      <c r="EE40" s="19"/>
      <c r="EF40" s="19"/>
      <c r="EG40" s="19"/>
      <c r="EH40" s="19"/>
      <c r="EI40" s="19"/>
      <c r="EJ40" s="19"/>
      <c r="EK40" s="19"/>
      <c r="EL40" s="19"/>
      <c r="EM40" s="21">
        <f t="shared" si="517"/>
        <v>0</v>
      </c>
      <c r="EO40" s="19"/>
      <c r="EP40" s="19"/>
      <c r="EQ40" s="19"/>
      <c r="ER40" s="19"/>
      <c r="ES40" s="19"/>
      <c r="ET40" s="19"/>
      <c r="EU40" s="19"/>
      <c r="EV40" s="19"/>
      <c r="EW40" s="19"/>
      <c r="EX40" s="19"/>
      <c r="EY40" s="19"/>
      <c r="EZ40" s="19"/>
      <c r="FA40" s="21">
        <f t="shared" si="518"/>
        <v>0</v>
      </c>
    </row>
    <row r="41" spans="3:157" hidden="1" x14ac:dyDescent="0.3">
      <c r="C41" s="18" t="s">
        <v>28</v>
      </c>
      <c r="E41" s="19"/>
      <c r="F41" s="19"/>
      <c r="G41" s="19"/>
      <c r="H41" s="19"/>
      <c r="I41" s="19"/>
      <c r="J41" s="19"/>
      <c r="K41" s="19"/>
      <c r="L41" s="19"/>
      <c r="M41" s="19"/>
      <c r="N41" s="19"/>
      <c r="O41" s="19"/>
      <c r="P41" s="19"/>
      <c r="Q41" s="21">
        <f t="shared" si="519"/>
        <v>0</v>
      </c>
      <c r="S41" s="19"/>
      <c r="T41" s="19"/>
      <c r="U41" s="19"/>
      <c r="V41" s="19"/>
      <c r="W41" s="19"/>
      <c r="X41" s="19"/>
      <c r="Y41" s="19"/>
      <c r="Z41" s="19"/>
      <c r="AA41" s="19"/>
      <c r="AB41" s="19"/>
      <c r="AC41" s="19"/>
      <c r="AD41" s="19"/>
      <c r="AE41" s="21">
        <f t="shared" si="520"/>
        <v>0</v>
      </c>
      <c r="AG41" s="19"/>
      <c r="AH41" s="19"/>
      <c r="AI41" s="19"/>
      <c r="AJ41" s="19"/>
      <c r="AK41" s="19"/>
      <c r="AL41" s="19"/>
      <c r="AM41" s="19"/>
      <c r="AN41" s="19"/>
      <c r="AO41" s="19"/>
      <c r="AP41" s="19"/>
      <c r="AQ41" s="19"/>
      <c r="AR41" s="19"/>
      <c r="AS41" s="21">
        <f t="shared" si="510"/>
        <v>0</v>
      </c>
      <c r="AU41" s="19"/>
      <c r="AV41" s="19"/>
      <c r="AW41" s="19"/>
      <c r="AX41" s="19"/>
      <c r="AY41" s="19"/>
      <c r="AZ41" s="19"/>
      <c r="BA41" s="19"/>
      <c r="BB41" s="19"/>
      <c r="BC41" s="19"/>
      <c r="BD41" s="19"/>
      <c r="BE41" s="19"/>
      <c r="BF41" s="19"/>
      <c r="BG41" s="21">
        <f t="shared" si="511"/>
        <v>0</v>
      </c>
      <c r="BI41" s="19"/>
      <c r="BJ41" s="19"/>
      <c r="BK41" s="19"/>
      <c r="BL41" s="19"/>
      <c r="BM41" s="19"/>
      <c r="BN41" s="19"/>
      <c r="BO41" s="19"/>
      <c r="BP41" s="19"/>
      <c r="BQ41" s="19"/>
      <c r="BR41" s="19"/>
      <c r="BS41" s="19"/>
      <c r="BT41" s="19"/>
      <c r="BU41" s="21">
        <f t="shared" si="512"/>
        <v>0</v>
      </c>
      <c r="BW41" s="19"/>
      <c r="BX41" s="19"/>
      <c r="BY41" s="19"/>
      <c r="BZ41" s="19"/>
      <c r="CA41" s="19"/>
      <c r="CB41" s="19"/>
      <c r="CC41" s="19"/>
      <c r="CD41" s="19"/>
      <c r="CE41" s="19"/>
      <c r="CF41" s="19"/>
      <c r="CG41" s="19"/>
      <c r="CH41" s="19"/>
      <c r="CI41" s="21">
        <f t="shared" si="513"/>
        <v>0</v>
      </c>
      <c r="CK41" s="19"/>
      <c r="CL41" s="19"/>
      <c r="CM41" s="19"/>
      <c r="CN41" s="19"/>
      <c r="CO41" s="19"/>
      <c r="CP41" s="19"/>
      <c r="CQ41" s="19"/>
      <c r="CR41" s="19"/>
      <c r="CS41" s="19"/>
      <c r="CT41" s="19"/>
      <c r="CU41" s="19"/>
      <c r="CV41" s="19"/>
      <c r="CW41" s="21">
        <f t="shared" si="514"/>
        <v>0</v>
      </c>
      <c r="CY41" s="19"/>
      <c r="CZ41" s="19"/>
      <c r="DA41" s="19"/>
      <c r="DB41" s="19"/>
      <c r="DC41" s="19"/>
      <c r="DD41" s="19"/>
      <c r="DE41" s="19"/>
      <c r="DF41" s="19"/>
      <c r="DG41" s="19"/>
      <c r="DH41" s="19"/>
      <c r="DI41" s="19"/>
      <c r="DJ41" s="19"/>
      <c r="DK41" s="21">
        <f t="shared" si="515"/>
        <v>0</v>
      </c>
      <c r="DM41" s="19"/>
      <c r="DN41" s="19"/>
      <c r="DO41" s="19"/>
      <c r="DP41" s="19"/>
      <c r="DQ41" s="19"/>
      <c r="DR41" s="19"/>
      <c r="DS41" s="19"/>
      <c r="DT41" s="19"/>
      <c r="DU41" s="19"/>
      <c r="DV41" s="19"/>
      <c r="DW41" s="19"/>
      <c r="DX41" s="19"/>
      <c r="DY41" s="21">
        <f t="shared" si="516"/>
        <v>0</v>
      </c>
      <c r="EA41" s="19"/>
      <c r="EB41" s="19"/>
      <c r="EC41" s="19"/>
      <c r="ED41" s="19"/>
      <c r="EE41" s="19"/>
      <c r="EF41" s="19"/>
      <c r="EG41" s="19"/>
      <c r="EH41" s="19"/>
      <c r="EI41" s="19"/>
      <c r="EJ41" s="19"/>
      <c r="EK41" s="19"/>
      <c r="EL41" s="19"/>
      <c r="EM41" s="21">
        <f t="shared" si="517"/>
        <v>0</v>
      </c>
      <c r="EO41" s="19"/>
      <c r="EP41" s="19"/>
      <c r="EQ41" s="19"/>
      <c r="ER41" s="19"/>
      <c r="ES41" s="19"/>
      <c r="ET41" s="19"/>
      <c r="EU41" s="19"/>
      <c r="EV41" s="19"/>
      <c r="EW41" s="19"/>
      <c r="EX41" s="19"/>
      <c r="EY41" s="19"/>
      <c r="EZ41" s="19"/>
      <c r="FA41" s="21">
        <f t="shared" si="518"/>
        <v>0</v>
      </c>
    </row>
    <row r="42" spans="3:157" hidden="1" x14ac:dyDescent="0.3">
      <c r="C42" s="18" t="s">
        <v>28</v>
      </c>
      <c r="E42" s="19"/>
      <c r="F42" s="19"/>
      <c r="G42" s="19"/>
      <c r="H42" s="19"/>
      <c r="I42" s="19"/>
      <c r="J42" s="19"/>
      <c r="K42" s="19"/>
      <c r="L42" s="19"/>
      <c r="M42" s="19"/>
      <c r="N42" s="19"/>
      <c r="O42" s="19"/>
      <c r="P42" s="19"/>
      <c r="Q42" s="21">
        <f t="shared" si="519"/>
        <v>0</v>
      </c>
      <c r="S42" s="19"/>
      <c r="T42" s="19"/>
      <c r="U42" s="19"/>
      <c r="V42" s="19"/>
      <c r="W42" s="19"/>
      <c r="X42" s="19"/>
      <c r="Y42" s="19"/>
      <c r="Z42" s="19"/>
      <c r="AA42" s="19"/>
      <c r="AB42" s="19"/>
      <c r="AC42" s="19"/>
      <c r="AD42" s="19"/>
      <c r="AE42" s="21">
        <f t="shared" si="520"/>
        <v>0</v>
      </c>
      <c r="AG42" s="19"/>
      <c r="AH42" s="19"/>
      <c r="AI42" s="19"/>
      <c r="AJ42" s="19"/>
      <c r="AK42" s="19"/>
      <c r="AL42" s="19"/>
      <c r="AM42" s="19"/>
      <c r="AN42" s="19"/>
      <c r="AO42" s="19"/>
      <c r="AP42" s="19"/>
      <c r="AQ42" s="19"/>
      <c r="AR42" s="19"/>
      <c r="AS42" s="21">
        <f t="shared" si="510"/>
        <v>0</v>
      </c>
      <c r="AU42" s="19"/>
      <c r="AV42" s="19"/>
      <c r="AW42" s="19"/>
      <c r="AX42" s="19"/>
      <c r="AY42" s="19"/>
      <c r="AZ42" s="19"/>
      <c r="BA42" s="19"/>
      <c r="BB42" s="19"/>
      <c r="BC42" s="19"/>
      <c r="BD42" s="19"/>
      <c r="BE42" s="19"/>
      <c r="BF42" s="19"/>
      <c r="BG42" s="21">
        <f t="shared" si="511"/>
        <v>0</v>
      </c>
      <c r="BI42" s="19"/>
      <c r="BJ42" s="19"/>
      <c r="BK42" s="19"/>
      <c r="BL42" s="19"/>
      <c r="BM42" s="19"/>
      <c r="BN42" s="19"/>
      <c r="BO42" s="19"/>
      <c r="BP42" s="19"/>
      <c r="BQ42" s="19"/>
      <c r="BR42" s="19"/>
      <c r="BS42" s="19"/>
      <c r="BT42" s="19"/>
      <c r="BU42" s="21">
        <f t="shared" si="512"/>
        <v>0</v>
      </c>
      <c r="BW42" s="19"/>
      <c r="BX42" s="19"/>
      <c r="BY42" s="19"/>
      <c r="BZ42" s="19"/>
      <c r="CA42" s="19"/>
      <c r="CB42" s="19"/>
      <c r="CC42" s="19"/>
      <c r="CD42" s="19"/>
      <c r="CE42" s="19"/>
      <c r="CF42" s="19"/>
      <c r="CG42" s="19"/>
      <c r="CH42" s="19"/>
      <c r="CI42" s="21">
        <f t="shared" si="513"/>
        <v>0</v>
      </c>
      <c r="CK42" s="19"/>
      <c r="CL42" s="19"/>
      <c r="CM42" s="19"/>
      <c r="CN42" s="19"/>
      <c r="CO42" s="19"/>
      <c r="CP42" s="19"/>
      <c r="CQ42" s="19"/>
      <c r="CR42" s="19"/>
      <c r="CS42" s="19"/>
      <c r="CT42" s="19"/>
      <c r="CU42" s="19"/>
      <c r="CV42" s="19"/>
      <c r="CW42" s="21">
        <f t="shared" si="514"/>
        <v>0</v>
      </c>
      <c r="CY42" s="19"/>
      <c r="CZ42" s="19"/>
      <c r="DA42" s="19"/>
      <c r="DB42" s="19"/>
      <c r="DC42" s="19"/>
      <c r="DD42" s="19"/>
      <c r="DE42" s="19"/>
      <c r="DF42" s="19"/>
      <c r="DG42" s="19"/>
      <c r="DH42" s="19"/>
      <c r="DI42" s="19"/>
      <c r="DJ42" s="19"/>
      <c r="DK42" s="21">
        <f t="shared" si="515"/>
        <v>0</v>
      </c>
      <c r="DM42" s="19"/>
      <c r="DN42" s="19"/>
      <c r="DO42" s="19"/>
      <c r="DP42" s="19"/>
      <c r="DQ42" s="19"/>
      <c r="DR42" s="19"/>
      <c r="DS42" s="19"/>
      <c r="DT42" s="19"/>
      <c r="DU42" s="19"/>
      <c r="DV42" s="19"/>
      <c r="DW42" s="19"/>
      <c r="DX42" s="19"/>
      <c r="DY42" s="21">
        <f t="shared" si="516"/>
        <v>0</v>
      </c>
      <c r="EA42" s="19"/>
      <c r="EB42" s="19"/>
      <c r="EC42" s="19"/>
      <c r="ED42" s="19"/>
      <c r="EE42" s="19"/>
      <c r="EF42" s="19"/>
      <c r="EG42" s="19"/>
      <c r="EH42" s="19"/>
      <c r="EI42" s="19"/>
      <c r="EJ42" s="19"/>
      <c r="EK42" s="19"/>
      <c r="EL42" s="19"/>
      <c r="EM42" s="21">
        <f t="shared" si="517"/>
        <v>0</v>
      </c>
      <c r="EO42" s="19"/>
      <c r="EP42" s="19"/>
      <c r="EQ42" s="19"/>
      <c r="ER42" s="19"/>
      <c r="ES42" s="19"/>
      <c r="ET42" s="19"/>
      <c r="EU42" s="19"/>
      <c r="EV42" s="19"/>
      <c r="EW42" s="19"/>
      <c r="EX42" s="19"/>
      <c r="EY42" s="19"/>
      <c r="EZ42" s="19"/>
      <c r="FA42" s="21">
        <f t="shared" si="518"/>
        <v>0</v>
      </c>
    </row>
    <row r="43" spans="3:157" hidden="1" x14ac:dyDescent="0.3">
      <c r="C43" s="18" t="s">
        <v>28</v>
      </c>
      <c r="E43" s="19"/>
      <c r="F43" s="19"/>
      <c r="G43" s="19"/>
      <c r="H43" s="19"/>
      <c r="I43" s="19"/>
      <c r="J43" s="19"/>
      <c r="K43" s="19"/>
      <c r="L43" s="19"/>
      <c r="M43" s="19"/>
      <c r="N43" s="19"/>
      <c r="O43" s="19"/>
      <c r="P43" s="19"/>
      <c r="Q43" s="21">
        <f t="shared" si="519"/>
        <v>0</v>
      </c>
      <c r="S43" s="19"/>
      <c r="T43" s="19"/>
      <c r="U43" s="19"/>
      <c r="V43" s="19"/>
      <c r="W43" s="19"/>
      <c r="X43" s="19"/>
      <c r="Y43" s="19"/>
      <c r="Z43" s="19"/>
      <c r="AA43" s="19"/>
      <c r="AB43" s="19"/>
      <c r="AC43" s="19"/>
      <c r="AD43" s="19"/>
      <c r="AE43" s="21">
        <f t="shared" si="520"/>
        <v>0</v>
      </c>
      <c r="AG43" s="19"/>
      <c r="AH43" s="19"/>
      <c r="AI43" s="19"/>
      <c r="AJ43" s="19"/>
      <c r="AK43" s="19"/>
      <c r="AL43" s="19"/>
      <c r="AM43" s="19"/>
      <c r="AN43" s="19"/>
      <c r="AO43" s="19"/>
      <c r="AP43" s="19"/>
      <c r="AQ43" s="19"/>
      <c r="AR43" s="19"/>
      <c r="AS43" s="21">
        <f t="shared" si="510"/>
        <v>0</v>
      </c>
      <c r="AU43" s="19"/>
      <c r="AV43" s="19"/>
      <c r="AW43" s="19"/>
      <c r="AX43" s="19"/>
      <c r="AY43" s="19"/>
      <c r="AZ43" s="19"/>
      <c r="BA43" s="19"/>
      <c r="BB43" s="19"/>
      <c r="BC43" s="19"/>
      <c r="BD43" s="19"/>
      <c r="BE43" s="19"/>
      <c r="BF43" s="19"/>
      <c r="BG43" s="21">
        <f t="shared" si="511"/>
        <v>0</v>
      </c>
      <c r="BI43" s="19"/>
      <c r="BJ43" s="19"/>
      <c r="BK43" s="19"/>
      <c r="BL43" s="19"/>
      <c r="BM43" s="19"/>
      <c r="BN43" s="19"/>
      <c r="BO43" s="19"/>
      <c r="BP43" s="19"/>
      <c r="BQ43" s="19"/>
      <c r="BR43" s="19"/>
      <c r="BS43" s="19"/>
      <c r="BT43" s="19"/>
      <c r="BU43" s="21">
        <f t="shared" si="512"/>
        <v>0</v>
      </c>
      <c r="BW43" s="19"/>
      <c r="BX43" s="19"/>
      <c r="BY43" s="19"/>
      <c r="BZ43" s="19"/>
      <c r="CA43" s="19"/>
      <c r="CB43" s="19"/>
      <c r="CC43" s="19"/>
      <c r="CD43" s="19"/>
      <c r="CE43" s="19"/>
      <c r="CF43" s="19"/>
      <c r="CG43" s="19"/>
      <c r="CH43" s="19"/>
      <c r="CI43" s="21">
        <f t="shared" si="513"/>
        <v>0</v>
      </c>
      <c r="CK43" s="19"/>
      <c r="CL43" s="19"/>
      <c r="CM43" s="19"/>
      <c r="CN43" s="19"/>
      <c r="CO43" s="19"/>
      <c r="CP43" s="19"/>
      <c r="CQ43" s="19"/>
      <c r="CR43" s="19"/>
      <c r="CS43" s="19"/>
      <c r="CT43" s="19"/>
      <c r="CU43" s="19"/>
      <c r="CV43" s="19"/>
      <c r="CW43" s="21">
        <f t="shared" si="514"/>
        <v>0</v>
      </c>
      <c r="CY43" s="19"/>
      <c r="CZ43" s="19"/>
      <c r="DA43" s="19"/>
      <c r="DB43" s="19"/>
      <c r="DC43" s="19"/>
      <c r="DD43" s="19"/>
      <c r="DE43" s="19"/>
      <c r="DF43" s="19"/>
      <c r="DG43" s="19"/>
      <c r="DH43" s="19"/>
      <c r="DI43" s="19"/>
      <c r="DJ43" s="19"/>
      <c r="DK43" s="21">
        <f t="shared" si="515"/>
        <v>0</v>
      </c>
      <c r="DM43" s="19"/>
      <c r="DN43" s="19"/>
      <c r="DO43" s="19"/>
      <c r="DP43" s="19"/>
      <c r="DQ43" s="19"/>
      <c r="DR43" s="19"/>
      <c r="DS43" s="19"/>
      <c r="DT43" s="19"/>
      <c r="DU43" s="19"/>
      <c r="DV43" s="19"/>
      <c r="DW43" s="19"/>
      <c r="DX43" s="19"/>
      <c r="DY43" s="21">
        <f t="shared" si="516"/>
        <v>0</v>
      </c>
      <c r="EA43" s="19"/>
      <c r="EB43" s="19"/>
      <c r="EC43" s="19"/>
      <c r="ED43" s="19"/>
      <c r="EE43" s="19"/>
      <c r="EF43" s="19"/>
      <c r="EG43" s="19"/>
      <c r="EH43" s="19"/>
      <c r="EI43" s="19"/>
      <c r="EJ43" s="19"/>
      <c r="EK43" s="19"/>
      <c r="EL43" s="19"/>
      <c r="EM43" s="21">
        <f t="shared" si="517"/>
        <v>0</v>
      </c>
      <c r="EO43" s="19"/>
      <c r="EP43" s="19"/>
      <c r="EQ43" s="19"/>
      <c r="ER43" s="19"/>
      <c r="ES43" s="19"/>
      <c r="ET43" s="19"/>
      <c r="EU43" s="19"/>
      <c r="EV43" s="19"/>
      <c r="EW43" s="19"/>
      <c r="EX43" s="19"/>
      <c r="EY43" s="19"/>
      <c r="EZ43" s="19"/>
      <c r="FA43" s="21">
        <f t="shared" si="518"/>
        <v>0</v>
      </c>
    </row>
    <row r="44" spans="3:157" hidden="1" x14ac:dyDescent="0.3">
      <c r="C44" s="18" t="s">
        <v>28</v>
      </c>
      <c r="E44" s="19"/>
      <c r="F44" s="19"/>
      <c r="G44" s="19"/>
      <c r="H44" s="19"/>
      <c r="I44" s="19"/>
      <c r="J44" s="19"/>
      <c r="K44" s="19"/>
      <c r="L44" s="19"/>
      <c r="M44" s="19"/>
      <c r="N44" s="19"/>
      <c r="O44" s="19"/>
      <c r="P44" s="19"/>
      <c r="Q44" s="21">
        <f t="shared" si="519"/>
        <v>0</v>
      </c>
      <c r="S44" s="19"/>
      <c r="T44" s="19"/>
      <c r="U44" s="19"/>
      <c r="V44" s="19"/>
      <c r="W44" s="19"/>
      <c r="X44" s="19"/>
      <c r="Y44" s="19"/>
      <c r="Z44" s="19"/>
      <c r="AA44" s="19"/>
      <c r="AB44" s="19"/>
      <c r="AC44" s="19"/>
      <c r="AD44" s="19"/>
      <c r="AE44" s="21">
        <f t="shared" si="520"/>
        <v>0</v>
      </c>
      <c r="AG44" s="19"/>
      <c r="AH44" s="19"/>
      <c r="AI44" s="19"/>
      <c r="AJ44" s="19"/>
      <c r="AK44" s="19"/>
      <c r="AL44" s="19"/>
      <c r="AM44" s="19"/>
      <c r="AN44" s="19"/>
      <c r="AO44" s="19"/>
      <c r="AP44" s="19"/>
      <c r="AQ44" s="19"/>
      <c r="AR44" s="19"/>
      <c r="AS44" s="21">
        <f t="shared" si="510"/>
        <v>0</v>
      </c>
      <c r="AU44" s="19"/>
      <c r="AV44" s="19"/>
      <c r="AW44" s="19"/>
      <c r="AX44" s="19"/>
      <c r="AY44" s="19"/>
      <c r="AZ44" s="19"/>
      <c r="BA44" s="19"/>
      <c r="BB44" s="19"/>
      <c r="BC44" s="19"/>
      <c r="BD44" s="19"/>
      <c r="BE44" s="19"/>
      <c r="BF44" s="19"/>
      <c r="BG44" s="21">
        <f t="shared" si="511"/>
        <v>0</v>
      </c>
      <c r="BI44" s="19"/>
      <c r="BJ44" s="19"/>
      <c r="BK44" s="19"/>
      <c r="BL44" s="19"/>
      <c r="BM44" s="19"/>
      <c r="BN44" s="19"/>
      <c r="BO44" s="19"/>
      <c r="BP44" s="19"/>
      <c r="BQ44" s="19"/>
      <c r="BR44" s="19"/>
      <c r="BS44" s="19"/>
      <c r="BT44" s="19"/>
      <c r="BU44" s="21">
        <f t="shared" si="512"/>
        <v>0</v>
      </c>
      <c r="BW44" s="19"/>
      <c r="BX44" s="19"/>
      <c r="BY44" s="19"/>
      <c r="BZ44" s="19"/>
      <c r="CA44" s="19"/>
      <c r="CB44" s="19"/>
      <c r="CC44" s="19"/>
      <c r="CD44" s="19"/>
      <c r="CE44" s="19"/>
      <c r="CF44" s="19"/>
      <c r="CG44" s="19"/>
      <c r="CH44" s="19"/>
      <c r="CI44" s="21">
        <f t="shared" si="513"/>
        <v>0</v>
      </c>
      <c r="CK44" s="19"/>
      <c r="CL44" s="19"/>
      <c r="CM44" s="19"/>
      <c r="CN44" s="19"/>
      <c r="CO44" s="19"/>
      <c r="CP44" s="19"/>
      <c r="CQ44" s="19"/>
      <c r="CR44" s="19"/>
      <c r="CS44" s="19"/>
      <c r="CT44" s="19"/>
      <c r="CU44" s="19"/>
      <c r="CV44" s="19"/>
      <c r="CW44" s="21">
        <f t="shared" si="514"/>
        <v>0</v>
      </c>
      <c r="CY44" s="19"/>
      <c r="CZ44" s="19"/>
      <c r="DA44" s="19"/>
      <c r="DB44" s="19"/>
      <c r="DC44" s="19"/>
      <c r="DD44" s="19"/>
      <c r="DE44" s="19"/>
      <c r="DF44" s="19"/>
      <c r="DG44" s="19"/>
      <c r="DH44" s="19"/>
      <c r="DI44" s="19"/>
      <c r="DJ44" s="19"/>
      <c r="DK44" s="21">
        <f t="shared" si="515"/>
        <v>0</v>
      </c>
      <c r="DM44" s="19"/>
      <c r="DN44" s="19"/>
      <c r="DO44" s="19"/>
      <c r="DP44" s="19"/>
      <c r="DQ44" s="19"/>
      <c r="DR44" s="19"/>
      <c r="DS44" s="19"/>
      <c r="DT44" s="19"/>
      <c r="DU44" s="19"/>
      <c r="DV44" s="19"/>
      <c r="DW44" s="19"/>
      <c r="DX44" s="19"/>
      <c r="DY44" s="21">
        <f t="shared" si="516"/>
        <v>0</v>
      </c>
      <c r="EA44" s="19"/>
      <c r="EB44" s="19"/>
      <c r="EC44" s="19"/>
      <c r="ED44" s="19"/>
      <c r="EE44" s="19"/>
      <c r="EF44" s="19"/>
      <c r="EG44" s="19"/>
      <c r="EH44" s="19"/>
      <c r="EI44" s="19"/>
      <c r="EJ44" s="19"/>
      <c r="EK44" s="19"/>
      <c r="EL44" s="19"/>
      <c r="EM44" s="21">
        <f t="shared" si="517"/>
        <v>0</v>
      </c>
      <c r="EO44" s="19"/>
      <c r="EP44" s="19"/>
      <c r="EQ44" s="19"/>
      <c r="ER44" s="19"/>
      <c r="ES44" s="19"/>
      <c r="ET44" s="19"/>
      <c r="EU44" s="19"/>
      <c r="EV44" s="19"/>
      <c r="EW44" s="19"/>
      <c r="EX44" s="19"/>
      <c r="EY44" s="19"/>
      <c r="EZ44" s="19"/>
      <c r="FA44" s="21">
        <f t="shared" si="518"/>
        <v>0</v>
      </c>
    </row>
    <row r="45" spans="3:157" hidden="1" x14ac:dyDescent="0.3">
      <c r="C45" s="18" t="s">
        <v>28</v>
      </c>
      <c r="E45" s="19"/>
      <c r="F45" s="19"/>
      <c r="G45" s="19"/>
      <c r="H45" s="19"/>
      <c r="I45" s="19"/>
      <c r="J45" s="19"/>
      <c r="K45" s="19"/>
      <c r="L45" s="19"/>
      <c r="M45" s="19"/>
      <c r="N45" s="19"/>
      <c r="O45" s="19"/>
      <c r="P45" s="19"/>
      <c r="Q45" s="21">
        <f t="shared" si="519"/>
        <v>0</v>
      </c>
      <c r="S45" s="19"/>
      <c r="T45" s="19"/>
      <c r="U45" s="19"/>
      <c r="V45" s="19"/>
      <c r="W45" s="19"/>
      <c r="X45" s="19"/>
      <c r="Y45" s="19"/>
      <c r="Z45" s="19"/>
      <c r="AA45" s="19"/>
      <c r="AB45" s="19"/>
      <c r="AC45" s="19"/>
      <c r="AD45" s="19"/>
      <c r="AE45" s="21">
        <f t="shared" si="520"/>
        <v>0</v>
      </c>
      <c r="AG45" s="19"/>
      <c r="AH45" s="19"/>
      <c r="AI45" s="19"/>
      <c r="AJ45" s="19"/>
      <c r="AK45" s="19"/>
      <c r="AL45" s="19"/>
      <c r="AM45" s="19"/>
      <c r="AN45" s="19"/>
      <c r="AO45" s="19"/>
      <c r="AP45" s="19"/>
      <c r="AQ45" s="19"/>
      <c r="AR45" s="19"/>
      <c r="AS45" s="21">
        <f t="shared" si="510"/>
        <v>0</v>
      </c>
      <c r="AU45" s="19"/>
      <c r="AV45" s="19"/>
      <c r="AW45" s="19"/>
      <c r="AX45" s="19"/>
      <c r="AY45" s="19"/>
      <c r="AZ45" s="19"/>
      <c r="BA45" s="19"/>
      <c r="BB45" s="19"/>
      <c r="BC45" s="19"/>
      <c r="BD45" s="19"/>
      <c r="BE45" s="19"/>
      <c r="BF45" s="19"/>
      <c r="BG45" s="21">
        <f t="shared" si="511"/>
        <v>0</v>
      </c>
      <c r="BI45" s="19"/>
      <c r="BJ45" s="19"/>
      <c r="BK45" s="19"/>
      <c r="BL45" s="19"/>
      <c r="BM45" s="19"/>
      <c r="BN45" s="19"/>
      <c r="BO45" s="19"/>
      <c r="BP45" s="19"/>
      <c r="BQ45" s="19"/>
      <c r="BR45" s="19"/>
      <c r="BS45" s="19"/>
      <c r="BT45" s="19"/>
      <c r="BU45" s="21">
        <f t="shared" si="512"/>
        <v>0</v>
      </c>
      <c r="BW45" s="19"/>
      <c r="BX45" s="19"/>
      <c r="BY45" s="19"/>
      <c r="BZ45" s="19"/>
      <c r="CA45" s="19"/>
      <c r="CB45" s="19"/>
      <c r="CC45" s="19"/>
      <c r="CD45" s="19"/>
      <c r="CE45" s="19"/>
      <c r="CF45" s="19"/>
      <c r="CG45" s="19"/>
      <c r="CH45" s="19"/>
      <c r="CI45" s="21">
        <f t="shared" si="513"/>
        <v>0</v>
      </c>
      <c r="CK45" s="19"/>
      <c r="CL45" s="19"/>
      <c r="CM45" s="19"/>
      <c r="CN45" s="19"/>
      <c r="CO45" s="19"/>
      <c r="CP45" s="19"/>
      <c r="CQ45" s="19"/>
      <c r="CR45" s="19"/>
      <c r="CS45" s="19"/>
      <c r="CT45" s="19"/>
      <c r="CU45" s="19"/>
      <c r="CV45" s="19"/>
      <c r="CW45" s="21">
        <f t="shared" si="514"/>
        <v>0</v>
      </c>
      <c r="CY45" s="19"/>
      <c r="CZ45" s="19"/>
      <c r="DA45" s="19"/>
      <c r="DB45" s="19"/>
      <c r="DC45" s="19"/>
      <c r="DD45" s="19"/>
      <c r="DE45" s="19"/>
      <c r="DF45" s="19"/>
      <c r="DG45" s="19"/>
      <c r="DH45" s="19"/>
      <c r="DI45" s="19"/>
      <c r="DJ45" s="19"/>
      <c r="DK45" s="21">
        <f t="shared" si="515"/>
        <v>0</v>
      </c>
      <c r="DM45" s="19"/>
      <c r="DN45" s="19"/>
      <c r="DO45" s="19"/>
      <c r="DP45" s="19"/>
      <c r="DQ45" s="19"/>
      <c r="DR45" s="19"/>
      <c r="DS45" s="19"/>
      <c r="DT45" s="19"/>
      <c r="DU45" s="19"/>
      <c r="DV45" s="19"/>
      <c r="DW45" s="19"/>
      <c r="DX45" s="19"/>
      <c r="DY45" s="21">
        <f t="shared" si="516"/>
        <v>0</v>
      </c>
      <c r="EA45" s="19"/>
      <c r="EB45" s="19"/>
      <c r="EC45" s="19"/>
      <c r="ED45" s="19"/>
      <c r="EE45" s="19"/>
      <c r="EF45" s="19"/>
      <c r="EG45" s="19"/>
      <c r="EH45" s="19"/>
      <c r="EI45" s="19"/>
      <c r="EJ45" s="19"/>
      <c r="EK45" s="19"/>
      <c r="EL45" s="19"/>
      <c r="EM45" s="21">
        <f t="shared" si="517"/>
        <v>0</v>
      </c>
      <c r="EO45" s="19"/>
      <c r="EP45" s="19"/>
      <c r="EQ45" s="19"/>
      <c r="ER45" s="19"/>
      <c r="ES45" s="19"/>
      <c r="ET45" s="19"/>
      <c r="EU45" s="19"/>
      <c r="EV45" s="19"/>
      <c r="EW45" s="19"/>
      <c r="EX45" s="19"/>
      <c r="EY45" s="19"/>
      <c r="EZ45" s="19"/>
      <c r="FA45" s="21">
        <f t="shared" si="518"/>
        <v>0</v>
      </c>
    </row>
    <row r="46" spans="3:157" x14ac:dyDescent="0.3">
      <c r="C46" s="17" t="s">
        <v>19</v>
      </c>
      <c r="E46" s="20" cm="1">
        <f t="array" aca="1" ref="E46" ca="1">SUM(INDIRECT(ADDRESS(Variablekosten_Min_Zeile,COLUMN()) &amp; ":" &amp; ADDRESS(Variablekosten_Max_Row, COLUMN())))</f>
        <v>0</v>
      </c>
      <c r="F46" s="20" cm="1">
        <f t="array" aca="1" ref="F46" ca="1">SUM(INDIRECT(ADDRESS(Variablekosten_Min_Zeile,COLUMN()) &amp; ":" &amp; ADDRESS(Variablekosten_Max_Row, COLUMN())))</f>
        <v>0</v>
      </c>
      <c r="G46" s="20" cm="1">
        <f t="array" aca="1" ref="G46" ca="1">SUM(INDIRECT(ADDRESS(Variablekosten_Min_Zeile,COLUMN()) &amp; ":" &amp; ADDRESS(Variablekosten_Max_Row, COLUMN())))</f>
        <v>0</v>
      </c>
      <c r="H46" s="20" cm="1">
        <f t="array" aca="1" ref="H46" ca="1">SUM(INDIRECT(ADDRESS(Variablekosten_Min_Zeile,COLUMN()) &amp; ":" &amp; ADDRESS(Variablekosten_Max_Row, COLUMN())))</f>
        <v>0</v>
      </c>
      <c r="I46" s="20" cm="1">
        <f t="array" aca="1" ref="I46" ca="1">SUM(INDIRECT(ADDRESS(Variablekosten_Min_Zeile,COLUMN()) &amp; ":" &amp; ADDRESS(Variablekosten_Max_Row, COLUMN())))</f>
        <v>0</v>
      </c>
      <c r="J46" s="20" cm="1">
        <f t="array" aca="1" ref="J46" ca="1">SUM(INDIRECT(ADDRESS(Variablekosten_Min_Zeile,COLUMN()) &amp; ":" &amp; ADDRESS(Variablekosten_Max_Row, COLUMN())))</f>
        <v>0</v>
      </c>
      <c r="K46" s="20" cm="1">
        <f t="array" aca="1" ref="K46" ca="1">SUM(INDIRECT(ADDRESS(Variablekosten_Min_Zeile,COLUMN()) &amp; ":" &amp; ADDRESS(Variablekosten_Max_Row, COLUMN())))</f>
        <v>0</v>
      </c>
      <c r="L46" s="20" cm="1">
        <f t="array" aca="1" ref="L46" ca="1">SUM(INDIRECT(ADDRESS(Variablekosten_Min_Zeile,COLUMN()) &amp; ":" &amp; ADDRESS(Variablekosten_Max_Row, COLUMN())))</f>
        <v>0</v>
      </c>
      <c r="M46" s="20" cm="1">
        <f t="array" aca="1" ref="M46" ca="1">SUM(INDIRECT(ADDRESS(Variablekosten_Min_Zeile,COLUMN()) &amp; ":" &amp; ADDRESS(Variablekosten_Max_Row, COLUMN())))</f>
        <v>0</v>
      </c>
      <c r="N46" s="20" cm="1">
        <f t="array" aca="1" ref="N46" ca="1">SUM(INDIRECT(ADDRESS(Variablekosten_Min_Zeile,COLUMN()) &amp; ":" &amp; ADDRESS(Variablekosten_Max_Row, COLUMN())))</f>
        <v>0</v>
      </c>
      <c r="O46" s="20" cm="1">
        <f t="array" aca="1" ref="O46" ca="1">SUM(INDIRECT(ADDRESS(Variablekosten_Min_Zeile,COLUMN()) &amp; ":" &amp; ADDRESS(Variablekosten_Max_Row, COLUMN())))</f>
        <v>0</v>
      </c>
      <c r="P46" s="20" cm="1">
        <f t="array" aca="1" ref="P46" ca="1">SUM(INDIRECT(ADDRESS(Variablekosten_Min_Zeile,COLUMN()) &amp; ":" &amp; ADDRESS(Variablekosten_Max_Row, COLUMN())))</f>
        <v>0</v>
      </c>
      <c r="Q46" s="20" cm="1">
        <f t="array" aca="1" ref="Q46" ca="1">SUM(INDIRECT(ADDRESS(Variablekosten_Min_Zeile,COLUMN()) &amp; ":" &amp; ADDRESS(Variablekosten_Max_Row, COLUMN())))</f>
        <v>0</v>
      </c>
      <c r="S46" s="20" cm="1">
        <f t="array" aca="1" ref="S46" ca="1">SUM(INDIRECT(ADDRESS(Variablekosten_Min_Zeile,COLUMN()) &amp; ":" &amp; ADDRESS(Variablekosten_Max_Row, COLUMN())))</f>
        <v>0</v>
      </c>
      <c r="T46" s="20" cm="1">
        <f t="array" aca="1" ref="T46" ca="1">SUM(INDIRECT(ADDRESS(Variablekosten_Min_Zeile,COLUMN()) &amp; ":" &amp; ADDRESS(Variablekosten_Max_Row, COLUMN())))</f>
        <v>0</v>
      </c>
      <c r="U46" s="20" cm="1">
        <f t="array" aca="1" ref="U46" ca="1">SUM(INDIRECT(ADDRESS(Variablekosten_Min_Zeile,COLUMN()) &amp; ":" &amp; ADDRESS(Variablekosten_Max_Row, COLUMN())))</f>
        <v>0</v>
      </c>
      <c r="V46" s="20" cm="1">
        <f t="array" aca="1" ref="V46" ca="1">SUM(INDIRECT(ADDRESS(Variablekosten_Min_Zeile,COLUMN()) &amp; ":" &amp; ADDRESS(Variablekosten_Max_Row, COLUMN())))</f>
        <v>0</v>
      </c>
      <c r="W46" s="20" cm="1">
        <f t="array" aca="1" ref="W46" ca="1">SUM(INDIRECT(ADDRESS(Variablekosten_Min_Zeile,COLUMN()) &amp; ":" &amp; ADDRESS(Variablekosten_Max_Row, COLUMN())))</f>
        <v>0</v>
      </c>
      <c r="X46" s="20" cm="1">
        <f t="array" aca="1" ref="X46" ca="1">SUM(INDIRECT(ADDRESS(Variablekosten_Min_Zeile,COLUMN()) &amp; ":" &amp; ADDRESS(Variablekosten_Max_Row, COLUMN())))</f>
        <v>0</v>
      </c>
      <c r="Y46" s="20" cm="1">
        <f t="array" aca="1" ref="Y46" ca="1">SUM(INDIRECT(ADDRESS(Variablekosten_Min_Zeile,COLUMN()) &amp; ":" &amp; ADDRESS(Variablekosten_Max_Row, COLUMN())))</f>
        <v>0</v>
      </c>
      <c r="Z46" s="20" cm="1">
        <f t="array" aca="1" ref="Z46" ca="1">SUM(INDIRECT(ADDRESS(Variablekosten_Min_Zeile,COLUMN()) &amp; ":" &amp; ADDRESS(Variablekosten_Max_Row, COLUMN())))</f>
        <v>0</v>
      </c>
      <c r="AA46" s="20" cm="1">
        <f t="array" aca="1" ref="AA46" ca="1">SUM(INDIRECT(ADDRESS(Variablekosten_Min_Zeile,COLUMN()) &amp; ":" &amp; ADDRESS(Variablekosten_Max_Row, COLUMN())))</f>
        <v>0</v>
      </c>
      <c r="AB46" s="20" cm="1">
        <f t="array" aca="1" ref="AB46" ca="1">SUM(INDIRECT(ADDRESS(Variablekosten_Min_Zeile,COLUMN()) &amp; ":" &amp; ADDRESS(Variablekosten_Max_Row, COLUMN())))</f>
        <v>0</v>
      </c>
      <c r="AC46" s="20" cm="1">
        <f t="array" aca="1" ref="AC46" ca="1">SUM(INDIRECT(ADDRESS(Variablekosten_Min_Zeile,COLUMN()) &amp; ":" &amp; ADDRESS(Variablekosten_Max_Row, COLUMN())))</f>
        <v>0</v>
      </c>
      <c r="AD46" s="20" cm="1">
        <f t="array" aca="1" ref="AD46" ca="1">SUM(INDIRECT(ADDRESS(Variablekosten_Min_Zeile,COLUMN()) &amp; ":" &amp; ADDRESS(Variablekosten_Max_Row, COLUMN())))</f>
        <v>0</v>
      </c>
      <c r="AE46" s="20" cm="1">
        <f t="array" aca="1" ref="AE46" ca="1">SUM(INDIRECT(ADDRESS(Variablekosten_Min_Zeile,COLUMN()) &amp; ":" &amp; ADDRESS(Variablekosten_Max_Row, COLUMN())))</f>
        <v>0</v>
      </c>
      <c r="AG46" s="20" cm="1">
        <f t="array" aca="1" ref="AG46" ca="1">SUM(INDIRECT(ADDRESS(Variablekosten_Min_Zeile,COLUMN()) &amp; ":" &amp; ADDRESS(Variablekosten_Max_Row, COLUMN())))</f>
        <v>0</v>
      </c>
      <c r="AH46" s="20" cm="1">
        <f t="array" aca="1" ref="AH46" ca="1">SUM(INDIRECT(ADDRESS(Variablekosten_Min_Zeile,COLUMN()) &amp; ":" &amp; ADDRESS(Variablekosten_Max_Row, COLUMN())))</f>
        <v>0</v>
      </c>
      <c r="AI46" s="20" cm="1">
        <f t="array" aca="1" ref="AI46" ca="1">SUM(INDIRECT(ADDRESS(Variablekosten_Min_Zeile,COLUMN()) &amp; ":" &amp; ADDRESS(Variablekosten_Max_Row, COLUMN())))</f>
        <v>0</v>
      </c>
      <c r="AJ46" s="20" cm="1">
        <f t="array" aca="1" ref="AJ46" ca="1">SUM(INDIRECT(ADDRESS(Variablekosten_Min_Zeile,COLUMN()) &amp; ":" &amp; ADDRESS(Variablekosten_Max_Row, COLUMN())))</f>
        <v>0</v>
      </c>
      <c r="AK46" s="20" cm="1">
        <f t="array" aca="1" ref="AK46" ca="1">SUM(INDIRECT(ADDRESS(Variablekosten_Min_Zeile,COLUMN()) &amp; ":" &amp; ADDRESS(Variablekosten_Max_Row, COLUMN())))</f>
        <v>0</v>
      </c>
      <c r="AL46" s="20" cm="1">
        <f t="array" aca="1" ref="AL46" ca="1">SUM(INDIRECT(ADDRESS(Variablekosten_Min_Zeile,COLUMN()) &amp; ":" &amp; ADDRESS(Variablekosten_Max_Row, COLUMN())))</f>
        <v>0</v>
      </c>
      <c r="AM46" s="20" cm="1">
        <f t="array" aca="1" ref="AM46" ca="1">SUM(INDIRECT(ADDRESS(Variablekosten_Min_Zeile,COLUMN()) &amp; ":" &amp; ADDRESS(Variablekosten_Max_Row, COLUMN())))</f>
        <v>0</v>
      </c>
      <c r="AN46" s="20" cm="1">
        <f t="array" aca="1" ref="AN46" ca="1">SUM(INDIRECT(ADDRESS(Variablekosten_Min_Zeile,COLUMN()) &amp; ":" &amp; ADDRESS(Variablekosten_Max_Row, COLUMN())))</f>
        <v>0</v>
      </c>
      <c r="AO46" s="20" cm="1">
        <f t="array" aca="1" ref="AO46" ca="1">SUM(INDIRECT(ADDRESS(Variablekosten_Min_Zeile,COLUMN()) &amp; ":" &amp; ADDRESS(Variablekosten_Max_Row, COLUMN())))</f>
        <v>0</v>
      </c>
      <c r="AP46" s="20" cm="1">
        <f t="array" aca="1" ref="AP46" ca="1">SUM(INDIRECT(ADDRESS(Variablekosten_Min_Zeile,COLUMN()) &amp; ":" &amp; ADDRESS(Variablekosten_Max_Row, COLUMN())))</f>
        <v>0</v>
      </c>
      <c r="AQ46" s="20" cm="1">
        <f t="array" aca="1" ref="AQ46" ca="1">SUM(INDIRECT(ADDRESS(Variablekosten_Min_Zeile,COLUMN()) &amp; ":" &amp; ADDRESS(Variablekosten_Max_Row, COLUMN())))</f>
        <v>0</v>
      </c>
      <c r="AR46" s="20" cm="1">
        <f t="array" aca="1" ref="AR46" ca="1">SUM(INDIRECT(ADDRESS(Variablekosten_Min_Zeile,COLUMN()) &amp; ":" &amp; ADDRESS(Variablekosten_Max_Row, COLUMN())))</f>
        <v>0</v>
      </c>
      <c r="AS46" s="20" cm="1">
        <f t="array" aca="1" ref="AS46" ca="1">SUM(INDIRECT(ADDRESS(Variablekosten_Min_Zeile,COLUMN()) &amp; ":" &amp; ADDRESS(Variablekosten_Max_Row, COLUMN())))</f>
        <v>0</v>
      </c>
      <c r="AU46" s="20" cm="1">
        <f t="array" aca="1" ref="AU46" ca="1">SUM(INDIRECT(ADDRESS(Variablekosten_Min_Zeile,COLUMN()) &amp; ":" &amp; ADDRESS(Variablekosten_Max_Row, COLUMN())))</f>
        <v>0</v>
      </c>
      <c r="AV46" s="20" cm="1">
        <f t="array" aca="1" ref="AV46" ca="1">SUM(INDIRECT(ADDRESS(Variablekosten_Min_Zeile,COLUMN()) &amp; ":" &amp; ADDRESS(Variablekosten_Max_Row, COLUMN())))</f>
        <v>0</v>
      </c>
      <c r="AW46" s="20" cm="1">
        <f t="array" aca="1" ref="AW46" ca="1">SUM(INDIRECT(ADDRESS(Variablekosten_Min_Zeile,COLUMN()) &amp; ":" &amp; ADDRESS(Variablekosten_Max_Row, COLUMN())))</f>
        <v>0</v>
      </c>
      <c r="AX46" s="20" cm="1">
        <f t="array" aca="1" ref="AX46" ca="1">SUM(INDIRECT(ADDRESS(Variablekosten_Min_Zeile,COLUMN()) &amp; ":" &amp; ADDRESS(Variablekosten_Max_Row, COLUMN())))</f>
        <v>0</v>
      </c>
      <c r="AY46" s="20" cm="1">
        <f t="array" aca="1" ref="AY46" ca="1">SUM(INDIRECT(ADDRESS(Variablekosten_Min_Zeile,COLUMN()) &amp; ":" &amp; ADDRESS(Variablekosten_Max_Row, COLUMN())))</f>
        <v>0</v>
      </c>
      <c r="AZ46" s="20" cm="1">
        <f t="array" aca="1" ref="AZ46" ca="1">SUM(INDIRECT(ADDRESS(Variablekosten_Min_Zeile,COLUMN()) &amp; ":" &amp; ADDRESS(Variablekosten_Max_Row, COLUMN())))</f>
        <v>0</v>
      </c>
      <c r="BA46" s="20" cm="1">
        <f t="array" aca="1" ref="BA46" ca="1">SUM(INDIRECT(ADDRESS(Variablekosten_Min_Zeile,COLUMN()) &amp; ":" &amp; ADDRESS(Variablekosten_Max_Row, COLUMN())))</f>
        <v>0</v>
      </c>
      <c r="BB46" s="20" cm="1">
        <f t="array" aca="1" ref="BB46" ca="1">SUM(INDIRECT(ADDRESS(Variablekosten_Min_Zeile,COLUMN()) &amp; ":" &amp; ADDRESS(Variablekosten_Max_Row, COLUMN())))</f>
        <v>0</v>
      </c>
      <c r="BC46" s="20" cm="1">
        <f t="array" aca="1" ref="BC46" ca="1">SUM(INDIRECT(ADDRESS(Variablekosten_Min_Zeile,COLUMN()) &amp; ":" &amp; ADDRESS(Variablekosten_Max_Row, COLUMN())))</f>
        <v>0</v>
      </c>
      <c r="BD46" s="20" cm="1">
        <f t="array" aca="1" ref="BD46" ca="1">SUM(INDIRECT(ADDRESS(Variablekosten_Min_Zeile,COLUMN()) &amp; ":" &amp; ADDRESS(Variablekosten_Max_Row, COLUMN())))</f>
        <v>0</v>
      </c>
      <c r="BE46" s="20" cm="1">
        <f t="array" aca="1" ref="BE46" ca="1">SUM(INDIRECT(ADDRESS(Variablekosten_Min_Zeile,COLUMN()) &amp; ":" &amp; ADDRESS(Variablekosten_Max_Row, COLUMN())))</f>
        <v>0</v>
      </c>
      <c r="BF46" s="20" cm="1">
        <f t="array" aca="1" ref="BF46" ca="1">SUM(INDIRECT(ADDRESS(Variablekosten_Min_Zeile,COLUMN()) &amp; ":" &amp; ADDRESS(Variablekosten_Max_Row, COLUMN())))</f>
        <v>0</v>
      </c>
      <c r="BG46" s="20" cm="1">
        <f t="array" aca="1" ref="BG46" ca="1">SUM(INDIRECT(ADDRESS(Variablekosten_Min_Zeile,COLUMN()) &amp; ":" &amp; ADDRESS(Variablekosten_Max_Row, COLUMN())))</f>
        <v>0</v>
      </c>
      <c r="BI46" s="20" cm="1">
        <f t="array" aca="1" ref="BI46" ca="1">SUM(INDIRECT(ADDRESS(Variablekosten_Min_Zeile,COLUMN()) &amp; ":" &amp; ADDRESS(Variablekosten_Max_Row, COLUMN())))</f>
        <v>0</v>
      </c>
      <c r="BJ46" s="20" cm="1">
        <f t="array" aca="1" ref="BJ46" ca="1">SUM(INDIRECT(ADDRESS(Variablekosten_Min_Zeile,COLUMN()) &amp; ":" &amp; ADDRESS(Variablekosten_Max_Row, COLUMN())))</f>
        <v>0</v>
      </c>
      <c r="BK46" s="20" cm="1">
        <f t="array" aca="1" ref="BK46" ca="1">SUM(INDIRECT(ADDRESS(Variablekosten_Min_Zeile,COLUMN()) &amp; ":" &amp; ADDRESS(Variablekosten_Max_Row, COLUMN())))</f>
        <v>0</v>
      </c>
      <c r="BL46" s="20" cm="1">
        <f t="array" aca="1" ref="BL46" ca="1">SUM(INDIRECT(ADDRESS(Variablekosten_Min_Zeile,COLUMN()) &amp; ":" &amp; ADDRESS(Variablekosten_Max_Row, COLUMN())))</f>
        <v>0</v>
      </c>
      <c r="BM46" s="20" cm="1">
        <f t="array" aca="1" ref="BM46" ca="1">SUM(INDIRECT(ADDRESS(Variablekosten_Min_Zeile,COLUMN()) &amp; ":" &amp; ADDRESS(Variablekosten_Max_Row, COLUMN())))</f>
        <v>0</v>
      </c>
      <c r="BN46" s="20" cm="1">
        <f t="array" aca="1" ref="BN46" ca="1">SUM(INDIRECT(ADDRESS(Variablekosten_Min_Zeile,COLUMN()) &amp; ":" &amp; ADDRESS(Variablekosten_Max_Row, COLUMN())))</f>
        <v>0</v>
      </c>
      <c r="BO46" s="20" cm="1">
        <f t="array" aca="1" ref="BO46" ca="1">SUM(INDIRECT(ADDRESS(Variablekosten_Min_Zeile,COLUMN()) &amp; ":" &amp; ADDRESS(Variablekosten_Max_Row, COLUMN())))</f>
        <v>0</v>
      </c>
      <c r="BP46" s="20" cm="1">
        <f t="array" aca="1" ref="BP46" ca="1">SUM(INDIRECT(ADDRESS(Variablekosten_Min_Zeile,COLUMN()) &amp; ":" &amp; ADDRESS(Variablekosten_Max_Row, COLUMN())))</f>
        <v>0</v>
      </c>
      <c r="BQ46" s="20" cm="1">
        <f t="array" aca="1" ref="BQ46" ca="1">SUM(INDIRECT(ADDRESS(Variablekosten_Min_Zeile,COLUMN()) &amp; ":" &amp; ADDRESS(Variablekosten_Max_Row, COLUMN())))</f>
        <v>0</v>
      </c>
      <c r="BR46" s="20" cm="1">
        <f t="array" aca="1" ref="BR46" ca="1">SUM(INDIRECT(ADDRESS(Variablekosten_Min_Zeile,COLUMN()) &amp; ":" &amp; ADDRESS(Variablekosten_Max_Row, COLUMN())))</f>
        <v>0</v>
      </c>
      <c r="BS46" s="20" cm="1">
        <f t="array" aca="1" ref="BS46" ca="1">SUM(INDIRECT(ADDRESS(Variablekosten_Min_Zeile,COLUMN()) &amp; ":" &amp; ADDRESS(Variablekosten_Max_Row, COLUMN())))</f>
        <v>0</v>
      </c>
      <c r="BT46" s="20" cm="1">
        <f t="array" aca="1" ref="BT46" ca="1">SUM(INDIRECT(ADDRESS(Variablekosten_Min_Zeile,COLUMN()) &amp; ":" &amp; ADDRESS(Variablekosten_Max_Row, COLUMN())))</f>
        <v>0</v>
      </c>
      <c r="BU46" s="20" cm="1">
        <f t="array" aca="1" ref="BU46" ca="1">SUM(INDIRECT(ADDRESS(Variablekosten_Min_Zeile,COLUMN()) &amp; ":" &amp; ADDRESS(Variablekosten_Max_Row, COLUMN())))</f>
        <v>0</v>
      </c>
      <c r="BW46" s="20" cm="1">
        <f t="array" aca="1" ref="BW46" ca="1">SUM(INDIRECT(ADDRESS(Variablekosten_Min_Zeile,COLUMN()) &amp; ":" &amp; ADDRESS(Variablekosten_Max_Row, COLUMN())))</f>
        <v>0</v>
      </c>
      <c r="BX46" s="20" cm="1">
        <f t="array" aca="1" ref="BX46" ca="1">SUM(INDIRECT(ADDRESS(Variablekosten_Min_Zeile,COLUMN()) &amp; ":" &amp; ADDRESS(Variablekosten_Max_Row, COLUMN())))</f>
        <v>0</v>
      </c>
      <c r="BY46" s="20" cm="1">
        <f t="array" aca="1" ref="BY46" ca="1">SUM(INDIRECT(ADDRESS(Variablekosten_Min_Zeile,COLUMN()) &amp; ":" &amp; ADDRESS(Variablekosten_Max_Row, COLUMN())))</f>
        <v>0</v>
      </c>
      <c r="BZ46" s="20" cm="1">
        <f t="array" aca="1" ref="BZ46" ca="1">SUM(INDIRECT(ADDRESS(Variablekosten_Min_Zeile,COLUMN()) &amp; ":" &amp; ADDRESS(Variablekosten_Max_Row, COLUMN())))</f>
        <v>0</v>
      </c>
      <c r="CA46" s="20" cm="1">
        <f t="array" aca="1" ref="CA46" ca="1">SUM(INDIRECT(ADDRESS(Variablekosten_Min_Zeile,COLUMN()) &amp; ":" &amp; ADDRESS(Variablekosten_Max_Row, COLUMN())))</f>
        <v>0</v>
      </c>
      <c r="CB46" s="20" cm="1">
        <f t="array" aca="1" ref="CB46" ca="1">SUM(INDIRECT(ADDRESS(Variablekosten_Min_Zeile,COLUMN()) &amp; ":" &amp; ADDRESS(Variablekosten_Max_Row, COLUMN())))</f>
        <v>0</v>
      </c>
      <c r="CC46" s="20" cm="1">
        <f t="array" aca="1" ref="CC46" ca="1">SUM(INDIRECT(ADDRESS(Variablekosten_Min_Zeile,COLUMN()) &amp; ":" &amp; ADDRESS(Variablekosten_Max_Row, COLUMN())))</f>
        <v>0</v>
      </c>
      <c r="CD46" s="20" cm="1">
        <f t="array" aca="1" ref="CD46" ca="1">SUM(INDIRECT(ADDRESS(Variablekosten_Min_Zeile,COLUMN()) &amp; ":" &amp; ADDRESS(Variablekosten_Max_Row, COLUMN())))</f>
        <v>0</v>
      </c>
      <c r="CE46" s="20" cm="1">
        <f t="array" aca="1" ref="CE46" ca="1">SUM(INDIRECT(ADDRESS(Variablekosten_Min_Zeile,COLUMN()) &amp; ":" &amp; ADDRESS(Variablekosten_Max_Row, COLUMN())))</f>
        <v>0</v>
      </c>
      <c r="CF46" s="20" cm="1">
        <f t="array" aca="1" ref="CF46" ca="1">SUM(INDIRECT(ADDRESS(Variablekosten_Min_Zeile,COLUMN()) &amp; ":" &amp; ADDRESS(Variablekosten_Max_Row, COLUMN())))</f>
        <v>0</v>
      </c>
      <c r="CG46" s="20" cm="1">
        <f t="array" aca="1" ref="CG46" ca="1">SUM(INDIRECT(ADDRESS(Variablekosten_Min_Zeile,COLUMN()) &amp; ":" &amp; ADDRESS(Variablekosten_Max_Row, COLUMN())))</f>
        <v>0</v>
      </c>
      <c r="CH46" s="20" cm="1">
        <f t="array" aca="1" ref="CH46" ca="1">SUM(INDIRECT(ADDRESS(Variablekosten_Min_Zeile,COLUMN()) &amp; ":" &amp; ADDRESS(Variablekosten_Max_Row, COLUMN())))</f>
        <v>0</v>
      </c>
      <c r="CI46" s="20" cm="1">
        <f t="array" aca="1" ref="CI46" ca="1">SUM(INDIRECT(ADDRESS(Variablekosten_Min_Zeile,COLUMN()) &amp; ":" &amp; ADDRESS(Variablekosten_Max_Row, COLUMN())))</f>
        <v>0</v>
      </c>
      <c r="CK46" s="20" cm="1">
        <f t="array" aca="1" ref="CK46" ca="1">SUM(INDIRECT(ADDRESS(Variablekosten_Min_Zeile,COLUMN()) &amp; ":" &amp; ADDRESS(Variablekosten_Max_Row, COLUMN())))</f>
        <v>0</v>
      </c>
      <c r="CL46" s="20" cm="1">
        <f t="array" aca="1" ref="CL46" ca="1">SUM(INDIRECT(ADDRESS(Variablekosten_Min_Zeile,COLUMN()) &amp; ":" &amp; ADDRESS(Variablekosten_Max_Row, COLUMN())))</f>
        <v>0</v>
      </c>
      <c r="CM46" s="20" cm="1">
        <f t="array" aca="1" ref="CM46" ca="1">SUM(INDIRECT(ADDRESS(Variablekosten_Min_Zeile,COLUMN()) &amp; ":" &amp; ADDRESS(Variablekosten_Max_Row, COLUMN())))</f>
        <v>0</v>
      </c>
      <c r="CN46" s="20" cm="1">
        <f t="array" aca="1" ref="CN46" ca="1">SUM(INDIRECT(ADDRESS(Variablekosten_Min_Zeile,COLUMN()) &amp; ":" &amp; ADDRESS(Variablekosten_Max_Row, COLUMN())))</f>
        <v>0</v>
      </c>
      <c r="CO46" s="20" cm="1">
        <f t="array" aca="1" ref="CO46" ca="1">SUM(INDIRECT(ADDRESS(Variablekosten_Min_Zeile,COLUMN()) &amp; ":" &amp; ADDRESS(Variablekosten_Max_Row, COLUMN())))</f>
        <v>0</v>
      </c>
      <c r="CP46" s="20" cm="1">
        <f t="array" aca="1" ref="CP46" ca="1">SUM(INDIRECT(ADDRESS(Variablekosten_Min_Zeile,COLUMN()) &amp; ":" &amp; ADDRESS(Variablekosten_Max_Row, COLUMN())))</f>
        <v>0</v>
      </c>
      <c r="CQ46" s="20" cm="1">
        <f t="array" aca="1" ref="CQ46" ca="1">SUM(INDIRECT(ADDRESS(Variablekosten_Min_Zeile,COLUMN()) &amp; ":" &amp; ADDRESS(Variablekosten_Max_Row, COLUMN())))</f>
        <v>0</v>
      </c>
      <c r="CR46" s="20" cm="1">
        <f t="array" aca="1" ref="CR46" ca="1">SUM(INDIRECT(ADDRESS(Variablekosten_Min_Zeile,COLUMN()) &amp; ":" &amp; ADDRESS(Variablekosten_Max_Row, COLUMN())))</f>
        <v>0</v>
      </c>
      <c r="CS46" s="20" cm="1">
        <f t="array" aca="1" ref="CS46" ca="1">SUM(INDIRECT(ADDRESS(Variablekosten_Min_Zeile,COLUMN()) &amp; ":" &amp; ADDRESS(Variablekosten_Max_Row, COLUMN())))</f>
        <v>0</v>
      </c>
      <c r="CT46" s="20" cm="1">
        <f t="array" aca="1" ref="CT46" ca="1">SUM(INDIRECT(ADDRESS(Variablekosten_Min_Zeile,COLUMN()) &amp; ":" &amp; ADDRESS(Variablekosten_Max_Row, COLUMN())))</f>
        <v>0</v>
      </c>
      <c r="CU46" s="20" cm="1">
        <f t="array" aca="1" ref="CU46" ca="1">SUM(INDIRECT(ADDRESS(Variablekosten_Min_Zeile,COLUMN()) &amp; ":" &amp; ADDRESS(Variablekosten_Max_Row, COLUMN())))</f>
        <v>0</v>
      </c>
      <c r="CV46" s="20" cm="1">
        <f t="array" aca="1" ref="CV46" ca="1">SUM(INDIRECT(ADDRESS(Variablekosten_Min_Zeile,COLUMN()) &amp; ":" &amp; ADDRESS(Variablekosten_Max_Row, COLUMN())))</f>
        <v>0</v>
      </c>
      <c r="CW46" s="20" cm="1">
        <f t="array" aca="1" ref="CW46" ca="1">SUM(INDIRECT(ADDRESS(Variablekosten_Min_Zeile,COLUMN()) &amp; ":" &amp; ADDRESS(Variablekosten_Max_Row, COLUMN())))</f>
        <v>0</v>
      </c>
      <c r="CY46" s="20" cm="1">
        <f t="array" aca="1" ref="CY46" ca="1">SUM(INDIRECT(ADDRESS(Variablekosten_Min_Zeile,COLUMN()) &amp; ":" &amp; ADDRESS(Variablekosten_Max_Row, COLUMN())))</f>
        <v>0</v>
      </c>
      <c r="CZ46" s="20" cm="1">
        <f t="array" aca="1" ref="CZ46" ca="1">SUM(INDIRECT(ADDRESS(Variablekosten_Min_Zeile,COLUMN()) &amp; ":" &amp; ADDRESS(Variablekosten_Max_Row, COLUMN())))</f>
        <v>0</v>
      </c>
      <c r="DA46" s="20" cm="1">
        <f t="array" aca="1" ref="DA46" ca="1">SUM(INDIRECT(ADDRESS(Variablekosten_Min_Zeile,COLUMN()) &amp; ":" &amp; ADDRESS(Variablekosten_Max_Row, COLUMN())))</f>
        <v>0</v>
      </c>
      <c r="DB46" s="20" cm="1">
        <f t="array" aca="1" ref="DB46" ca="1">SUM(INDIRECT(ADDRESS(Variablekosten_Min_Zeile,COLUMN()) &amp; ":" &amp; ADDRESS(Variablekosten_Max_Row, COLUMN())))</f>
        <v>0</v>
      </c>
      <c r="DC46" s="20" cm="1">
        <f t="array" aca="1" ref="DC46" ca="1">SUM(INDIRECT(ADDRESS(Variablekosten_Min_Zeile,COLUMN()) &amp; ":" &amp; ADDRESS(Variablekosten_Max_Row, COLUMN())))</f>
        <v>0</v>
      </c>
      <c r="DD46" s="20" cm="1">
        <f t="array" aca="1" ref="DD46" ca="1">SUM(INDIRECT(ADDRESS(Variablekosten_Min_Zeile,COLUMN()) &amp; ":" &amp; ADDRESS(Variablekosten_Max_Row, COLUMN())))</f>
        <v>0</v>
      </c>
      <c r="DE46" s="20" cm="1">
        <f t="array" aca="1" ref="DE46" ca="1">SUM(INDIRECT(ADDRESS(Variablekosten_Min_Zeile,COLUMN()) &amp; ":" &amp; ADDRESS(Variablekosten_Max_Row, COLUMN())))</f>
        <v>0</v>
      </c>
      <c r="DF46" s="20" cm="1">
        <f t="array" aca="1" ref="DF46" ca="1">SUM(INDIRECT(ADDRESS(Variablekosten_Min_Zeile,COLUMN()) &amp; ":" &amp; ADDRESS(Variablekosten_Max_Row, COLUMN())))</f>
        <v>0</v>
      </c>
      <c r="DG46" s="20" cm="1">
        <f t="array" aca="1" ref="DG46" ca="1">SUM(INDIRECT(ADDRESS(Variablekosten_Min_Zeile,COLUMN()) &amp; ":" &amp; ADDRESS(Variablekosten_Max_Row, COLUMN())))</f>
        <v>0</v>
      </c>
      <c r="DH46" s="20" cm="1">
        <f t="array" aca="1" ref="DH46" ca="1">SUM(INDIRECT(ADDRESS(Variablekosten_Min_Zeile,COLUMN()) &amp; ":" &amp; ADDRESS(Variablekosten_Max_Row, COLUMN())))</f>
        <v>0</v>
      </c>
      <c r="DI46" s="20" cm="1">
        <f t="array" aca="1" ref="DI46" ca="1">SUM(INDIRECT(ADDRESS(Variablekosten_Min_Zeile,COLUMN()) &amp; ":" &amp; ADDRESS(Variablekosten_Max_Row, COLUMN())))</f>
        <v>0</v>
      </c>
      <c r="DJ46" s="20" cm="1">
        <f t="array" aca="1" ref="DJ46" ca="1">SUM(INDIRECT(ADDRESS(Variablekosten_Min_Zeile,COLUMN()) &amp; ":" &amp; ADDRESS(Variablekosten_Max_Row, COLUMN())))</f>
        <v>0</v>
      </c>
      <c r="DK46" s="20" cm="1">
        <f t="array" aca="1" ref="DK46" ca="1">SUM(INDIRECT(ADDRESS(Variablekosten_Min_Zeile,COLUMN()) &amp; ":" &amp; ADDRESS(Variablekosten_Max_Row, COLUMN())))</f>
        <v>0</v>
      </c>
      <c r="DM46" s="20" cm="1">
        <f t="array" aca="1" ref="DM46" ca="1">SUM(INDIRECT(ADDRESS(Variablekosten_Min_Zeile,COLUMN()) &amp; ":" &amp; ADDRESS(Variablekosten_Max_Row, COLUMN())))</f>
        <v>0</v>
      </c>
      <c r="DN46" s="20" cm="1">
        <f t="array" aca="1" ref="DN46" ca="1">SUM(INDIRECT(ADDRESS(Variablekosten_Min_Zeile,COLUMN()) &amp; ":" &amp; ADDRESS(Variablekosten_Max_Row, COLUMN())))</f>
        <v>0</v>
      </c>
      <c r="DO46" s="20" cm="1">
        <f t="array" aca="1" ref="DO46" ca="1">SUM(INDIRECT(ADDRESS(Variablekosten_Min_Zeile,COLUMN()) &amp; ":" &amp; ADDRESS(Variablekosten_Max_Row, COLUMN())))</f>
        <v>0</v>
      </c>
      <c r="DP46" s="20" cm="1">
        <f t="array" aca="1" ref="DP46" ca="1">SUM(INDIRECT(ADDRESS(Variablekosten_Min_Zeile,COLUMN()) &amp; ":" &amp; ADDRESS(Variablekosten_Max_Row, COLUMN())))</f>
        <v>0</v>
      </c>
      <c r="DQ46" s="20" cm="1">
        <f t="array" aca="1" ref="DQ46" ca="1">SUM(INDIRECT(ADDRESS(Variablekosten_Min_Zeile,COLUMN()) &amp; ":" &amp; ADDRESS(Variablekosten_Max_Row, COLUMN())))</f>
        <v>0</v>
      </c>
      <c r="DR46" s="20" cm="1">
        <f t="array" aca="1" ref="DR46" ca="1">SUM(INDIRECT(ADDRESS(Variablekosten_Min_Zeile,COLUMN()) &amp; ":" &amp; ADDRESS(Variablekosten_Max_Row, COLUMN())))</f>
        <v>0</v>
      </c>
      <c r="DS46" s="20" cm="1">
        <f t="array" aca="1" ref="DS46" ca="1">SUM(INDIRECT(ADDRESS(Variablekosten_Min_Zeile,COLUMN()) &amp; ":" &amp; ADDRESS(Variablekosten_Max_Row, COLUMN())))</f>
        <v>0</v>
      </c>
      <c r="DT46" s="20" cm="1">
        <f t="array" aca="1" ref="DT46" ca="1">SUM(INDIRECT(ADDRESS(Variablekosten_Min_Zeile,COLUMN()) &amp; ":" &amp; ADDRESS(Variablekosten_Max_Row, COLUMN())))</f>
        <v>0</v>
      </c>
      <c r="DU46" s="20" cm="1">
        <f t="array" aca="1" ref="DU46" ca="1">SUM(INDIRECT(ADDRESS(Variablekosten_Min_Zeile,COLUMN()) &amp; ":" &amp; ADDRESS(Variablekosten_Max_Row, COLUMN())))</f>
        <v>0</v>
      </c>
      <c r="DV46" s="20" cm="1">
        <f t="array" aca="1" ref="DV46" ca="1">SUM(INDIRECT(ADDRESS(Variablekosten_Min_Zeile,COLUMN()) &amp; ":" &amp; ADDRESS(Variablekosten_Max_Row, COLUMN())))</f>
        <v>0</v>
      </c>
      <c r="DW46" s="20" cm="1">
        <f t="array" aca="1" ref="DW46" ca="1">SUM(INDIRECT(ADDRESS(Variablekosten_Min_Zeile,COLUMN()) &amp; ":" &amp; ADDRESS(Variablekosten_Max_Row, COLUMN())))</f>
        <v>0</v>
      </c>
      <c r="DX46" s="20" cm="1">
        <f t="array" aca="1" ref="DX46" ca="1">SUM(INDIRECT(ADDRESS(Variablekosten_Min_Zeile,COLUMN()) &amp; ":" &amp; ADDRESS(Variablekosten_Max_Row, COLUMN())))</f>
        <v>0</v>
      </c>
      <c r="DY46" s="20" cm="1">
        <f t="array" aca="1" ref="DY46" ca="1">SUM(INDIRECT(ADDRESS(Variablekosten_Min_Zeile,COLUMN()) &amp; ":" &amp; ADDRESS(Variablekosten_Max_Row, COLUMN())))</f>
        <v>0</v>
      </c>
      <c r="EA46" s="20" cm="1">
        <f t="array" aca="1" ref="EA46" ca="1">SUM(INDIRECT(ADDRESS(Variablekosten_Min_Zeile,COLUMN()) &amp; ":" &amp; ADDRESS(Variablekosten_Max_Row, COLUMN())))</f>
        <v>0</v>
      </c>
      <c r="EB46" s="20" cm="1">
        <f t="array" aca="1" ref="EB46" ca="1">SUM(INDIRECT(ADDRESS(Variablekosten_Min_Zeile,COLUMN()) &amp; ":" &amp; ADDRESS(Variablekosten_Max_Row, COLUMN())))</f>
        <v>0</v>
      </c>
      <c r="EC46" s="20" cm="1">
        <f t="array" aca="1" ref="EC46" ca="1">SUM(INDIRECT(ADDRESS(Variablekosten_Min_Zeile,COLUMN()) &amp; ":" &amp; ADDRESS(Variablekosten_Max_Row, COLUMN())))</f>
        <v>0</v>
      </c>
      <c r="ED46" s="20" cm="1">
        <f t="array" aca="1" ref="ED46" ca="1">SUM(INDIRECT(ADDRESS(Variablekosten_Min_Zeile,COLUMN()) &amp; ":" &amp; ADDRESS(Variablekosten_Max_Row, COLUMN())))</f>
        <v>0</v>
      </c>
      <c r="EE46" s="20" cm="1">
        <f t="array" aca="1" ref="EE46" ca="1">SUM(INDIRECT(ADDRESS(Variablekosten_Min_Zeile,COLUMN()) &amp; ":" &amp; ADDRESS(Variablekosten_Max_Row, COLUMN())))</f>
        <v>0</v>
      </c>
      <c r="EF46" s="20" cm="1">
        <f t="array" aca="1" ref="EF46" ca="1">SUM(INDIRECT(ADDRESS(Variablekosten_Min_Zeile,COLUMN()) &amp; ":" &amp; ADDRESS(Variablekosten_Max_Row, COLUMN())))</f>
        <v>0</v>
      </c>
      <c r="EG46" s="20" cm="1">
        <f t="array" aca="1" ref="EG46" ca="1">SUM(INDIRECT(ADDRESS(Variablekosten_Min_Zeile,COLUMN()) &amp; ":" &amp; ADDRESS(Variablekosten_Max_Row, COLUMN())))</f>
        <v>0</v>
      </c>
      <c r="EH46" s="20" cm="1">
        <f t="array" aca="1" ref="EH46" ca="1">SUM(INDIRECT(ADDRESS(Variablekosten_Min_Zeile,COLUMN()) &amp; ":" &amp; ADDRESS(Variablekosten_Max_Row, COLUMN())))</f>
        <v>0</v>
      </c>
      <c r="EI46" s="20" cm="1">
        <f t="array" aca="1" ref="EI46" ca="1">SUM(INDIRECT(ADDRESS(Variablekosten_Min_Zeile,COLUMN()) &amp; ":" &amp; ADDRESS(Variablekosten_Max_Row, COLUMN())))</f>
        <v>0</v>
      </c>
      <c r="EJ46" s="20" cm="1">
        <f t="array" aca="1" ref="EJ46" ca="1">SUM(INDIRECT(ADDRESS(Variablekosten_Min_Zeile,COLUMN()) &amp; ":" &amp; ADDRESS(Variablekosten_Max_Row, COLUMN())))</f>
        <v>0</v>
      </c>
      <c r="EK46" s="20" cm="1">
        <f t="array" aca="1" ref="EK46" ca="1">SUM(INDIRECT(ADDRESS(Variablekosten_Min_Zeile,COLUMN()) &amp; ":" &amp; ADDRESS(Variablekosten_Max_Row, COLUMN())))</f>
        <v>0</v>
      </c>
      <c r="EL46" s="20" cm="1">
        <f t="array" aca="1" ref="EL46" ca="1">SUM(INDIRECT(ADDRESS(Variablekosten_Min_Zeile,COLUMN()) &amp; ":" &amp; ADDRESS(Variablekosten_Max_Row, COLUMN())))</f>
        <v>0</v>
      </c>
      <c r="EM46" s="20" cm="1">
        <f t="array" aca="1" ref="EM46" ca="1">SUM(INDIRECT(ADDRESS(Variablekosten_Min_Zeile,COLUMN()) &amp; ":" &amp; ADDRESS(Variablekosten_Max_Row, COLUMN())))</f>
        <v>0</v>
      </c>
      <c r="EO46" s="20" cm="1">
        <f t="array" aca="1" ref="EO46" ca="1">SUM(INDIRECT(ADDRESS(Variablekosten_Min_Zeile,COLUMN()) &amp; ":" &amp; ADDRESS(Variablekosten_Max_Row, COLUMN())))</f>
        <v>0</v>
      </c>
      <c r="EP46" s="20" cm="1">
        <f t="array" aca="1" ref="EP46" ca="1">SUM(INDIRECT(ADDRESS(Variablekosten_Min_Zeile,COLUMN()) &amp; ":" &amp; ADDRESS(Variablekosten_Max_Row, COLUMN())))</f>
        <v>0</v>
      </c>
      <c r="EQ46" s="20" cm="1">
        <f t="array" aca="1" ref="EQ46" ca="1">SUM(INDIRECT(ADDRESS(Variablekosten_Min_Zeile,COLUMN()) &amp; ":" &amp; ADDRESS(Variablekosten_Max_Row, COLUMN())))</f>
        <v>0</v>
      </c>
      <c r="ER46" s="20" cm="1">
        <f t="array" aca="1" ref="ER46" ca="1">SUM(INDIRECT(ADDRESS(Variablekosten_Min_Zeile,COLUMN()) &amp; ":" &amp; ADDRESS(Variablekosten_Max_Row, COLUMN())))</f>
        <v>0</v>
      </c>
      <c r="ES46" s="20" cm="1">
        <f t="array" aca="1" ref="ES46" ca="1">SUM(INDIRECT(ADDRESS(Variablekosten_Min_Zeile,COLUMN()) &amp; ":" &amp; ADDRESS(Variablekosten_Max_Row, COLUMN())))</f>
        <v>0</v>
      </c>
      <c r="ET46" s="20" cm="1">
        <f t="array" aca="1" ref="ET46" ca="1">SUM(INDIRECT(ADDRESS(Variablekosten_Min_Zeile,COLUMN()) &amp; ":" &amp; ADDRESS(Variablekosten_Max_Row, COLUMN())))</f>
        <v>0</v>
      </c>
      <c r="EU46" s="20" cm="1">
        <f t="array" aca="1" ref="EU46" ca="1">SUM(INDIRECT(ADDRESS(Variablekosten_Min_Zeile,COLUMN()) &amp; ":" &amp; ADDRESS(Variablekosten_Max_Row, COLUMN())))</f>
        <v>0</v>
      </c>
      <c r="EV46" s="20" cm="1">
        <f t="array" aca="1" ref="EV46" ca="1">SUM(INDIRECT(ADDRESS(Variablekosten_Min_Zeile,COLUMN()) &amp; ":" &amp; ADDRESS(Variablekosten_Max_Row, COLUMN())))</f>
        <v>0</v>
      </c>
      <c r="EW46" s="20" cm="1">
        <f t="array" aca="1" ref="EW46" ca="1">SUM(INDIRECT(ADDRESS(Variablekosten_Min_Zeile,COLUMN()) &amp; ":" &amp; ADDRESS(Variablekosten_Max_Row, COLUMN())))</f>
        <v>0</v>
      </c>
      <c r="EX46" s="20" cm="1">
        <f t="array" aca="1" ref="EX46" ca="1">SUM(INDIRECT(ADDRESS(Variablekosten_Min_Zeile,COLUMN()) &amp; ":" &amp; ADDRESS(Variablekosten_Max_Row, COLUMN())))</f>
        <v>0</v>
      </c>
      <c r="EY46" s="20" cm="1">
        <f t="array" aca="1" ref="EY46" ca="1">SUM(INDIRECT(ADDRESS(Variablekosten_Min_Zeile,COLUMN()) &amp; ":" &amp; ADDRESS(Variablekosten_Max_Row, COLUMN())))</f>
        <v>0</v>
      </c>
      <c r="EZ46" s="20" cm="1">
        <f t="array" aca="1" ref="EZ46" ca="1">SUM(INDIRECT(ADDRESS(Variablekosten_Min_Zeile,COLUMN()) &amp; ":" &amp; ADDRESS(Variablekosten_Max_Row, COLUMN())))</f>
        <v>0</v>
      </c>
      <c r="FA46" s="20" cm="1">
        <f t="array" aca="1" ref="FA46" ca="1">SUM(INDIRECT(ADDRESS(Variablekosten_Min_Zeile,COLUMN()) &amp; ":" &amp; ADDRESS(Variablekosten_Max_Row, COLUMN())))</f>
        <v>0</v>
      </c>
    </row>
    <row r="48" spans="3:157" x14ac:dyDescent="0.3">
      <c r="C48" s="34" t="s">
        <v>29</v>
      </c>
      <c r="E48" s="32">
        <f>DATE(E$5,1,1)</f>
        <v>1</v>
      </c>
      <c r="F48" s="32">
        <f>DATE(E$5,2,1)</f>
        <v>32</v>
      </c>
      <c r="G48" s="32">
        <f>DATE(E$5,3,1)</f>
        <v>61</v>
      </c>
      <c r="H48" s="32">
        <f>DATE(E$5,4,1)</f>
        <v>92</v>
      </c>
      <c r="I48" s="32">
        <f>DATE(E$5,5,1)</f>
        <v>122</v>
      </c>
      <c r="J48" s="32">
        <f>DATE(E$5,6,1)</f>
        <v>153</v>
      </c>
      <c r="K48" s="32">
        <f>DATE(E$5,7,1)</f>
        <v>183</v>
      </c>
      <c r="L48" s="32">
        <f>DATE(E$5,8,1)</f>
        <v>214</v>
      </c>
      <c r="M48" s="32">
        <f>DATE(E$5,9,1)</f>
        <v>245</v>
      </c>
      <c r="N48" s="32">
        <f>DATE(E$5,10,1)</f>
        <v>275</v>
      </c>
      <c r="O48" s="32">
        <f>DATE(E$5,11,1)</f>
        <v>306</v>
      </c>
      <c r="P48" s="32">
        <f>DATE(E$5,12,1)</f>
        <v>336</v>
      </c>
      <c r="Q48" s="33">
        <f>E$5</f>
        <v>0</v>
      </c>
      <c r="S48" s="32">
        <f>DATE(S$5,1,1)</f>
        <v>367</v>
      </c>
      <c r="T48" s="32">
        <f>DATE(S$5,2,1)</f>
        <v>398</v>
      </c>
      <c r="U48" s="32">
        <f>DATE(S$5,3,1)</f>
        <v>426</v>
      </c>
      <c r="V48" s="32">
        <f>DATE(S$5,4,1)</f>
        <v>457</v>
      </c>
      <c r="W48" s="32">
        <f>DATE(S$5,5,1)</f>
        <v>487</v>
      </c>
      <c r="X48" s="32">
        <f>DATE(S$5,6,1)</f>
        <v>518</v>
      </c>
      <c r="Y48" s="32">
        <f>DATE(S$5,7,1)</f>
        <v>548</v>
      </c>
      <c r="Z48" s="32">
        <f>DATE(S$5,8,1)</f>
        <v>579</v>
      </c>
      <c r="AA48" s="32">
        <f>DATE(S$5,9,1)</f>
        <v>610</v>
      </c>
      <c r="AB48" s="32">
        <f>DATE(S$5,10,1)</f>
        <v>640</v>
      </c>
      <c r="AC48" s="32">
        <f>DATE(S$5,11,1)</f>
        <v>671</v>
      </c>
      <c r="AD48" s="32">
        <f>DATE(S$5,12,1)</f>
        <v>701</v>
      </c>
      <c r="AE48" s="33">
        <f>S$5</f>
        <v>1</v>
      </c>
      <c r="AG48" s="32">
        <f t="shared" ref="AG48" si="521">DATE(AG$5,1,1)</f>
        <v>732</v>
      </c>
      <c r="AH48" s="32">
        <f t="shared" ref="AH48" si="522">DATE(AG$5,2,1)</f>
        <v>763</v>
      </c>
      <c r="AI48" s="32">
        <f t="shared" ref="AI48" si="523">DATE(AG$5,3,1)</f>
        <v>791</v>
      </c>
      <c r="AJ48" s="32">
        <f t="shared" ref="AJ48" si="524">DATE(AG$5,4,1)</f>
        <v>822</v>
      </c>
      <c r="AK48" s="32">
        <f t="shared" ref="AK48" si="525">DATE(AG$5,5,1)</f>
        <v>852</v>
      </c>
      <c r="AL48" s="32">
        <f t="shared" ref="AL48" si="526">DATE(AG$5,6,1)</f>
        <v>883</v>
      </c>
      <c r="AM48" s="32">
        <f t="shared" ref="AM48" si="527">DATE(AG$5,7,1)</f>
        <v>913</v>
      </c>
      <c r="AN48" s="32">
        <f t="shared" ref="AN48" si="528">DATE(AG$5,8,1)</f>
        <v>944</v>
      </c>
      <c r="AO48" s="32">
        <f t="shared" ref="AO48" si="529">DATE(AG$5,9,1)</f>
        <v>975</v>
      </c>
      <c r="AP48" s="32">
        <f t="shared" ref="AP48" si="530">DATE(AG$5,10,1)</f>
        <v>1005</v>
      </c>
      <c r="AQ48" s="32">
        <f t="shared" ref="AQ48" si="531">DATE(AG$5,11,1)</f>
        <v>1036</v>
      </c>
      <c r="AR48" s="32">
        <f t="shared" ref="AR48" si="532">DATE(AG$5,12,1)</f>
        <v>1066</v>
      </c>
      <c r="AS48" s="33">
        <f t="shared" ref="AS48" si="533">AG$5</f>
        <v>2</v>
      </c>
      <c r="AU48" s="32">
        <f t="shared" ref="AU48" si="534">DATE(AU$5,1,1)</f>
        <v>1097</v>
      </c>
      <c r="AV48" s="32">
        <f t="shared" ref="AV48" si="535">DATE(AU$5,2,1)</f>
        <v>1128</v>
      </c>
      <c r="AW48" s="32">
        <f t="shared" ref="AW48" si="536">DATE(AU$5,3,1)</f>
        <v>1156</v>
      </c>
      <c r="AX48" s="32">
        <f t="shared" ref="AX48" si="537">DATE(AU$5,4,1)</f>
        <v>1187</v>
      </c>
      <c r="AY48" s="32">
        <f t="shared" ref="AY48" si="538">DATE(AU$5,5,1)</f>
        <v>1217</v>
      </c>
      <c r="AZ48" s="32">
        <f t="shared" ref="AZ48" si="539">DATE(AU$5,6,1)</f>
        <v>1248</v>
      </c>
      <c r="BA48" s="32">
        <f t="shared" ref="BA48" si="540">DATE(AU$5,7,1)</f>
        <v>1278</v>
      </c>
      <c r="BB48" s="32">
        <f t="shared" ref="BB48" si="541">DATE(AU$5,8,1)</f>
        <v>1309</v>
      </c>
      <c r="BC48" s="32">
        <f t="shared" ref="BC48" si="542">DATE(AU$5,9,1)</f>
        <v>1340</v>
      </c>
      <c r="BD48" s="32">
        <f t="shared" ref="BD48" si="543">DATE(AU$5,10,1)</f>
        <v>1370</v>
      </c>
      <c r="BE48" s="32">
        <f t="shared" ref="BE48" si="544">DATE(AU$5,11,1)</f>
        <v>1401</v>
      </c>
      <c r="BF48" s="32">
        <f t="shared" ref="BF48" si="545">DATE(AU$5,12,1)</f>
        <v>1431</v>
      </c>
      <c r="BG48" s="33">
        <f t="shared" ref="BG48" si="546">AU$5</f>
        <v>3</v>
      </c>
      <c r="BI48" s="32">
        <f t="shared" ref="BI48" si="547">DATE(BI$5,1,1)</f>
        <v>1462</v>
      </c>
      <c r="BJ48" s="32">
        <f t="shared" ref="BJ48" si="548">DATE(BI$5,2,1)</f>
        <v>1493</v>
      </c>
      <c r="BK48" s="32">
        <f t="shared" ref="BK48" si="549">DATE(BI$5,3,1)</f>
        <v>1522</v>
      </c>
      <c r="BL48" s="32">
        <f t="shared" ref="BL48" si="550">DATE(BI$5,4,1)</f>
        <v>1553</v>
      </c>
      <c r="BM48" s="32">
        <f t="shared" ref="BM48" si="551">DATE(BI$5,5,1)</f>
        <v>1583</v>
      </c>
      <c r="BN48" s="32">
        <f t="shared" ref="BN48" si="552">DATE(BI$5,6,1)</f>
        <v>1614</v>
      </c>
      <c r="BO48" s="32">
        <f t="shared" ref="BO48" si="553">DATE(BI$5,7,1)</f>
        <v>1644</v>
      </c>
      <c r="BP48" s="32">
        <f t="shared" ref="BP48" si="554">DATE(BI$5,8,1)</f>
        <v>1675</v>
      </c>
      <c r="BQ48" s="32">
        <f t="shared" ref="BQ48" si="555">DATE(BI$5,9,1)</f>
        <v>1706</v>
      </c>
      <c r="BR48" s="32">
        <f t="shared" ref="BR48" si="556">DATE(BI$5,10,1)</f>
        <v>1736</v>
      </c>
      <c r="BS48" s="32">
        <f t="shared" ref="BS48" si="557">DATE(BI$5,11,1)</f>
        <v>1767</v>
      </c>
      <c r="BT48" s="32">
        <f t="shared" ref="BT48" si="558">DATE(BI$5,12,1)</f>
        <v>1797</v>
      </c>
      <c r="BU48" s="33">
        <f t="shared" ref="BU48" si="559">BI$5</f>
        <v>4</v>
      </c>
      <c r="BW48" s="32">
        <f t="shared" ref="BW48" si="560">DATE(BW$5,1,1)</f>
        <v>1828</v>
      </c>
      <c r="BX48" s="32">
        <f t="shared" ref="BX48" si="561">DATE(BW$5,2,1)</f>
        <v>1859</v>
      </c>
      <c r="BY48" s="32">
        <f t="shared" ref="BY48" si="562">DATE(BW$5,3,1)</f>
        <v>1887</v>
      </c>
      <c r="BZ48" s="32">
        <f t="shared" ref="BZ48" si="563">DATE(BW$5,4,1)</f>
        <v>1918</v>
      </c>
      <c r="CA48" s="32">
        <f t="shared" ref="CA48" si="564">DATE(BW$5,5,1)</f>
        <v>1948</v>
      </c>
      <c r="CB48" s="32">
        <f t="shared" ref="CB48" si="565">DATE(BW$5,6,1)</f>
        <v>1979</v>
      </c>
      <c r="CC48" s="32">
        <f t="shared" ref="CC48" si="566">DATE(BW$5,7,1)</f>
        <v>2009</v>
      </c>
      <c r="CD48" s="32">
        <f t="shared" ref="CD48" si="567">DATE(BW$5,8,1)</f>
        <v>2040</v>
      </c>
      <c r="CE48" s="32">
        <f t="shared" ref="CE48" si="568">DATE(BW$5,9,1)</f>
        <v>2071</v>
      </c>
      <c r="CF48" s="32">
        <f t="shared" ref="CF48" si="569">DATE(BW$5,10,1)</f>
        <v>2101</v>
      </c>
      <c r="CG48" s="32">
        <f t="shared" ref="CG48" si="570">DATE(BW$5,11,1)</f>
        <v>2132</v>
      </c>
      <c r="CH48" s="32">
        <f t="shared" ref="CH48" si="571">DATE(BW$5,12,1)</f>
        <v>2162</v>
      </c>
      <c r="CI48" s="33">
        <f t="shared" ref="CI48" si="572">BW$5</f>
        <v>5</v>
      </c>
      <c r="CK48" s="32">
        <f t="shared" ref="CK48" si="573">DATE(CK$5,1,1)</f>
        <v>2193</v>
      </c>
      <c r="CL48" s="32">
        <f t="shared" ref="CL48" si="574">DATE(CK$5,2,1)</f>
        <v>2224</v>
      </c>
      <c r="CM48" s="32">
        <f t="shared" ref="CM48" si="575">DATE(CK$5,3,1)</f>
        <v>2252</v>
      </c>
      <c r="CN48" s="32">
        <f t="shared" ref="CN48" si="576">DATE(CK$5,4,1)</f>
        <v>2283</v>
      </c>
      <c r="CO48" s="32">
        <f t="shared" ref="CO48" si="577">DATE(CK$5,5,1)</f>
        <v>2313</v>
      </c>
      <c r="CP48" s="32">
        <f t="shared" ref="CP48" si="578">DATE(CK$5,6,1)</f>
        <v>2344</v>
      </c>
      <c r="CQ48" s="32">
        <f t="shared" ref="CQ48" si="579">DATE(CK$5,7,1)</f>
        <v>2374</v>
      </c>
      <c r="CR48" s="32">
        <f t="shared" ref="CR48" si="580">DATE(CK$5,8,1)</f>
        <v>2405</v>
      </c>
      <c r="CS48" s="32">
        <f t="shared" ref="CS48" si="581">DATE(CK$5,9,1)</f>
        <v>2436</v>
      </c>
      <c r="CT48" s="32">
        <f t="shared" ref="CT48" si="582">DATE(CK$5,10,1)</f>
        <v>2466</v>
      </c>
      <c r="CU48" s="32">
        <f t="shared" ref="CU48" si="583">DATE(CK$5,11,1)</f>
        <v>2497</v>
      </c>
      <c r="CV48" s="32">
        <f t="shared" ref="CV48" si="584">DATE(CK$5,12,1)</f>
        <v>2527</v>
      </c>
      <c r="CW48" s="33">
        <f t="shared" ref="CW48" si="585">CK$5</f>
        <v>6</v>
      </c>
      <c r="CY48" s="32">
        <f t="shared" ref="CY48" si="586">DATE(CY$5,1,1)</f>
        <v>2558</v>
      </c>
      <c r="CZ48" s="32">
        <f t="shared" ref="CZ48" si="587">DATE(CY$5,2,1)</f>
        <v>2589</v>
      </c>
      <c r="DA48" s="32">
        <f t="shared" ref="DA48" si="588">DATE(CY$5,3,1)</f>
        <v>2617</v>
      </c>
      <c r="DB48" s="32">
        <f t="shared" ref="DB48" si="589">DATE(CY$5,4,1)</f>
        <v>2648</v>
      </c>
      <c r="DC48" s="32">
        <f t="shared" ref="DC48" si="590">DATE(CY$5,5,1)</f>
        <v>2678</v>
      </c>
      <c r="DD48" s="32">
        <f t="shared" ref="DD48" si="591">DATE(CY$5,6,1)</f>
        <v>2709</v>
      </c>
      <c r="DE48" s="32">
        <f t="shared" ref="DE48" si="592">DATE(CY$5,7,1)</f>
        <v>2739</v>
      </c>
      <c r="DF48" s="32">
        <f t="shared" ref="DF48" si="593">DATE(CY$5,8,1)</f>
        <v>2770</v>
      </c>
      <c r="DG48" s="32">
        <f t="shared" ref="DG48" si="594">DATE(CY$5,9,1)</f>
        <v>2801</v>
      </c>
      <c r="DH48" s="32">
        <f t="shared" ref="DH48" si="595">DATE(CY$5,10,1)</f>
        <v>2831</v>
      </c>
      <c r="DI48" s="32">
        <f t="shared" ref="DI48" si="596">DATE(CY$5,11,1)</f>
        <v>2862</v>
      </c>
      <c r="DJ48" s="32">
        <f t="shared" ref="DJ48" si="597">DATE(CY$5,12,1)</f>
        <v>2892</v>
      </c>
      <c r="DK48" s="33">
        <f t="shared" ref="DK48" si="598">CY$5</f>
        <v>7</v>
      </c>
      <c r="DM48" s="32">
        <f t="shared" ref="DM48" si="599">DATE(DM$5,1,1)</f>
        <v>2923</v>
      </c>
      <c r="DN48" s="32">
        <f t="shared" ref="DN48" si="600">DATE(DM$5,2,1)</f>
        <v>2954</v>
      </c>
      <c r="DO48" s="32">
        <f t="shared" ref="DO48" si="601">DATE(DM$5,3,1)</f>
        <v>2983</v>
      </c>
      <c r="DP48" s="32">
        <f t="shared" ref="DP48" si="602">DATE(DM$5,4,1)</f>
        <v>3014</v>
      </c>
      <c r="DQ48" s="32">
        <f t="shared" ref="DQ48" si="603">DATE(DM$5,5,1)</f>
        <v>3044</v>
      </c>
      <c r="DR48" s="32">
        <f t="shared" ref="DR48" si="604">DATE(DM$5,6,1)</f>
        <v>3075</v>
      </c>
      <c r="DS48" s="32">
        <f t="shared" ref="DS48" si="605">DATE(DM$5,7,1)</f>
        <v>3105</v>
      </c>
      <c r="DT48" s="32">
        <f t="shared" ref="DT48" si="606">DATE(DM$5,8,1)</f>
        <v>3136</v>
      </c>
      <c r="DU48" s="32">
        <f t="shared" ref="DU48" si="607">DATE(DM$5,9,1)</f>
        <v>3167</v>
      </c>
      <c r="DV48" s="32">
        <f t="shared" ref="DV48" si="608">DATE(DM$5,10,1)</f>
        <v>3197</v>
      </c>
      <c r="DW48" s="32">
        <f t="shared" ref="DW48" si="609">DATE(DM$5,11,1)</f>
        <v>3228</v>
      </c>
      <c r="DX48" s="32">
        <f t="shared" ref="DX48" si="610">DATE(DM$5,12,1)</f>
        <v>3258</v>
      </c>
      <c r="DY48" s="33">
        <f t="shared" ref="DY48" si="611">DM$5</f>
        <v>8</v>
      </c>
      <c r="EA48" s="32">
        <f t="shared" ref="EA48" si="612">DATE(EA$5,1,1)</f>
        <v>3289</v>
      </c>
      <c r="EB48" s="32">
        <f t="shared" ref="EB48" si="613">DATE(EA$5,2,1)</f>
        <v>3320</v>
      </c>
      <c r="EC48" s="32">
        <f t="shared" ref="EC48" si="614">DATE(EA$5,3,1)</f>
        <v>3348</v>
      </c>
      <c r="ED48" s="32">
        <f t="shared" ref="ED48" si="615">DATE(EA$5,4,1)</f>
        <v>3379</v>
      </c>
      <c r="EE48" s="32">
        <f t="shared" ref="EE48" si="616">DATE(EA$5,5,1)</f>
        <v>3409</v>
      </c>
      <c r="EF48" s="32">
        <f t="shared" ref="EF48" si="617">DATE(EA$5,6,1)</f>
        <v>3440</v>
      </c>
      <c r="EG48" s="32">
        <f t="shared" ref="EG48" si="618">DATE(EA$5,7,1)</f>
        <v>3470</v>
      </c>
      <c r="EH48" s="32">
        <f t="shared" ref="EH48" si="619">DATE(EA$5,8,1)</f>
        <v>3501</v>
      </c>
      <c r="EI48" s="32">
        <f t="shared" ref="EI48" si="620">DATE(EA$5,9,1)</f>
        <v>3532</v>
      </c>
      <c r="EJ48" s="32">
        <f t="shared" ref="EJ48" si="621">DATE(EA$5,10,1)</f>
        <v>3562</v>
      </c>
      <c r="EK48" s="32">
        <f t="shared" ref="EK48" si="622">DATE(EA$5,11,1)</f>
        <v>3593</v>
      </c>
      <c r="EL48" s="32">
        <f t="shared" ref="EL48" si="623">DATE(EA$5,12,1)</f>
        <v>3623</v>
      </c>
      <c r="EM48" s="33">
        <f t="shared" ref="EM48" si="624">EA$5</f>
        <v>9</v>
      </c>
      <c r="EO48" s="32">
        <f t="shared" ref="EO48" si="625">DATE(EO$5,1,1)</f>
        <v>3654</v>
      </c>
      <c r="EP48" s="32">
        <f t="shared" ref="EP48" si="626">DATE(EO$5,2,1)</f>
        <v>3685</v>
      </c>
      <c r="EQ48" s="32">
        <f t="shared" ref="EQ48" si="627">DATE(EO$5,3,1)</f>
        <v>3713</v>
      </c>
      <c r="ER48" s="32">
        <f t="shared" ref="ER48" si="628">DATE(EO$5,4,1)</f>
        <v>3744</v>
      </c>
      <c r="ES48" s="32">
        <f t="shared" ref="ES48" si="629">DATE(EO$5,5,1)</f>
        <v>3774</v>
      </c>
      <c r="ET48" s="32">
        <f t="shared" ref="ET48" si="630">DATE(EO$5,6,1)</f>
        <v>3805</v>
      </c>
      <c r="EU48" s="32">
        <f t="shared" ref="EU48" si="631">DATE(EO$5,7,1)</f>
        <v>3835</v>
      </c>
      <c r="EV48" s="32">
        <f t="shared" ref="EV48" si="632">DATE(EO$5,8,1)</f>
        <v>3866</v>
      </c>
      <c r="EW48" s="32">
        <f t="shared" ref="EW48" si="633">DATE(EO$5,9,1)</f>
        <v>3897</v>
      </c>
      <c r="EX48" s="32">
        <f t="shared" ref="EX48" si="634">DATE(EO$5,10,1)</f>
        <v>3927</v>
      </c>
      <c r="EY48" s="32">
        <f t="shared" ref="EY48" si="635">DATE(EO$5,11,1)</f>
        <v>3958</v>
      </c>
      <c r="EZ48" s="32">
        <f t="shared" ref="EZ48" si="636">DATE(EO$5,12,1)</f>
        <v>3988</v>
      </c>
      <c r="FA48" s="33">
        <f t="shared" ref="FA48" si="637">EO$5</f>
        <v>10</v>
      </c>
    </row>
    <row r="49" spans="3:157" x14ac:dyDescent="0.3">
      <c r="C49" s="18" t="s">
        <v>35</v>
      </c>
      <c r="E49" s="19"/>
      <c r="F49" s="19"/>
      <c r="G49" s="19"/>
      <c r="H49" s="19"/>
      <c r="I49" s="19"/>
      <c r="J49" s="19"/>
      <c r="K49" s="19"/>
      <c r="L49" s="19"/>
      <c r="M49" s="19"/>
      <c r="N49" s="19"/>
      <c r="O49" s="19"/>
      <c r="P49" s="19"/>
      <c r="Q49" s="21">
        <f>SUM(E49:P49)</f>
        <v>0</v>
      </c>
      <c r="S49" s="19"/>
      <c r="T49" s="19"/>
      <c r="U49" s="19"/>
      <c r="V49" s="19"/>
      <c r="W49" s="19"/>
      <c r="X49" s="19"/>
      <c r="Y49" s="19"/>
      <c r="Z49" s="19"/>
      <c r="AA49" s="19"/>
      <c r="AB49" s="19"/>
      <c r="AC49" s="19"/>
      <c r="AD49" s="19"/>
      <c r="AE49" s="21">
        <f>SUM(S49:AD49)</f>
        <v>0</v>
      </c>
      <c r="AG49" s="19"/>
      <c r="AH49" s="19"/>
      <c r="AI49" s="19"/>
      <c r="AJ49" s="19"/>
      <c r="AK49" s="19"/>
      <c r="AL49" s="19"/>
      <c r="AM49" s="19"/>
      <c r="AN49" s="19"/>
      <c r="AO49" s="19"/>
      <c r="AP49" s="19"/>
      <c r="AQ49" s="19"/>
      <c r="AR49" s="19"/>
      <c r="AS49" s="21">
        <f t="shared" ref="AS49:AS58" si="638">SUM(AG49:AR49)</f>
        <v>0</v>
      </c>
      <c r="AU49" s="19"/>
      <c r="AV49" s="19"/>
      <c r="AW49" s="19"/>
      <c r="AX49" s="19"/>
      <c r="AY49" s="19"/>
      <c r="AZ49" s="19"/>
      <c r="BA49" s="19"/>
      <c r="BB49" s="19"/>
      <c r="BC49" s="19"/>
      <c r="BD49" s="19"/>
      <c r="BE49" s="19"/>
      <c r="BF49" s="19"/>
      <c r="BG49" s="21">
        <f t="shared" ref="BG49:BG58" si="639">SUM(AU49:BF49)</f>
        <v>0</v>
      </c>
      <c r="BI49" s="19"/>
      <c r="BJ49" s="19"/>
      <c r="BK49" s="19"/>
      <c r="BL49" s="19"/>
      <c r="BM49" s="19"/>
      <c r="BN49" s="19"/>
      <c r="BO49" s="19"/>
      <c r="BP49" s="19"/>
      <c r="BQ49" s="19"/>
      <c r="BR49" s="19"/>
      <c r="BS49" s="19"/>
      <c r="BT49" s="19"/>
      <c r="BU49" s="21">
        <f t="shared" ref="BU49:BU58" si="640">SUM(BI49:BT49)</f>
        <v>0</v>
      </c>
      <c r="BW49" s="19"/>
      <c r="BX49" s="19"/>
      <c r="BY49" s="19"/>
      <c r="BZ49" s="19"/>
      <c r="CA49" s="19"/>
      <c r="CB49" s="19"/>
      <c r="CC49" s="19"/>
      <c r="CD49" s="19"/>
      <c r="CE49" s="19"/>
      <c r="CF49" s="19"/>
      <c r="CG49" s="19"/>
      <c r="CH49" s="19"/>
      <c r="CI49" s="21">
        <f t="shared" ref="CI49:CI58" si="641">SUM(BW49:CH49)</f>
        <v>0</v>
      </c>
      <c r="CK49" s="19"/>
      <c r="CL49" s="19"/>
      <c r="CM49" s="19"/>
      <c r="CN49" s="19"/>
      <c r="CO49" s="19"/>
      <c r="CP49" s="19"/>
      <c r="CQ49" s="19"/>
      <c r="CR49" s="19"/>
      <c r="CS49" s="19"/>
      <c r="CT49" s="19"/>
      <c r="CU49" s="19"/>
      <c r="CV49" s="19"/>
      <c r="CW49" s="21">
        <f t="shared" ref="CW49:CW58" si="642">SUM(CK49:CV49)</f>
        <v>0</v>
      </c>
      <c r="CY49" s="19"/>
      <c r="CZ49" s="19"/>
      <c r="DA49" s="19"/>
      <c r="DB49" s="19"/>
      <c r="DC49" s="19"/>
      <c r="DD49" s="19"/>
      <c r="DE49" s="19"/>
      <c r="DF49" s="19"/>
      <c r="DG49" s="19"/>
      <c r="DH49" s="19"/>
      <c r="DI49" s="19"/>
      <c r="DJ49" s="19"/>
      <c r="DK49" s="21">
        <f t="shared" ref="DK49:DK58" si="643">SUM(CY49:DJ49)</f>
        <v>0</v>
      </c>
      <c r="DM49" s="19"/>
      <c r="DN49" s="19"/>
      <c r="DO49" s="19"/>
      <c r="DP49" s="19"/>
      <c r="DQ49" s="19"/>
      <c r="DR49" s="19"/>
      <c r="DS49" s="19"/>
      <c r="DT49" s="19"/>
      <c r="DU49" s="19"/>
      <c r="DV49" s="19"/>
      <c r="DW49" s="19"/>
      <c r="DX49" s="19"/>
      <c r="DY49" s="21">
        <f t="shared" ref="DY49:DY58" si="644">SUM(DM49:DX49)</f>
        <v>0</v>
      </c>
      <c r="EA49" s="19"/>
      <c r="EB49" s="19"/>
      <c r="EC49" s="19"/>
      <c r="ED49" s="19"/>
      <c r="EE49" s="19"/>
      <c r="EF49" s="19"/>
      <c r="EG49" s="19"/>
      <c r="EH49" s="19"/>
      <c r="EI49" s="19"/>
      <c r="EJ49" s="19"/>
      <c r="EK49" s="19"/>
      <c r="EL49" s="19"/>
      <c r="EM49" s="21">
        <f t="shared" ref="EM49:EM58" si="645">SUM(EA49:EL49)</f>
        <v>0</v>
      </c>
      <c r="EO49" s="19"/>
      <c r="EP49" s="19"/>
      <c r="EQ49" s="19"/>
      <c r="ER49" s="19"/>
      <c r="ES49" s="19"/>
      <c r="ET49" s="19"/>
      <c r="EU49" s="19"/>
      <c r="EV49" s="19"/>
      <c r="EW49" s="19"/>
      <c r="EX49" s="19"/>
      <c r="EY49" s="19"/>
      <c r="EZ49" s="19"/>
      <c r="FA49" s="21">
        <f t="shared" ref="FA49:FA58" si="646">SUM(EO49:EZ49)</f>
        <v>0</v>
      </c>
    </row>
    <row r="50" spans="3:157" x14ac:dyDescent="0.3">
      <c r="C50" s="18" t="s">
        <v>36</v>
      </c>
      <c r="E50" s="19"/>
      <c r="F50" s="19"/>
      <c r="G50" s="19"/>
      <c r="H50" s="19"/>
      <c r="I50" s="19"/>
      <c r="J50" s="19"/>
      <c r="K50" s="19"/>
      <c r="L50" s="19"/>
      <c r="M50" s="19"/>
      <c r="N50" s="19"/>
      <c r="O50" s="19"/>
      <c r="P50" s="19"/>
      <c r="Q50" s="21">
        <f t="shared" ref="Q50:Q58" si="647">SUM(E50:P50)</f>
        <v>0</v>
      </c>
      <c r="S50" s="19"/>
      <c r="T50" s="19"/>
      <c r="U50" s="19"/>
      <c r="V50" s="19"/>
      <c r="W50" s="19"/>
      <c r="X50" s="19"/>
      <c r="Y50" s="19"/>
      <c r="Z50" s="19"/>
      <c r="AA50" s="19"/>
      <c r="AB50" s="19"/>
      <c r="AC50" s="19"/>
      <c r="AD50" s="19"/>
      <c r="AE50" s="21">
        <f t="shared" ref="AE50:AE58" si="648">SUM(S50:AD50)</f>
        <v>0</v>
      </c>
      <c r="AG50" s="19"/>
      <c r="AH50" s="19"/>
      <c r="AI50" s="19"/>
      <c r="AJ50" s="19"/>
      <c r="AK50" s="19"/>
      <c r="AL50" s="19"/>
      <c r="AM50" s="19"/>
      <c r="AN50" s="19"/>
      <c r="AO50" s="19"/>
      <c r="AP50" s="19"/>
      <c r="AQ50" s="19"/>
      <c r="AR50" s="19"/>
      <c r="AS50" s="21">
        <f t="shared" si="638"/>
        <v>0</v>
      </c>
      <c r="AU50" s="19"/>
      <c r="AV50" s="19"/>
      <c r="AW50" s="19"/>
      <c r="AX50" s="19"/>
      <c r="AY50" s="19"/>
      <c r="AZ50" s="19"/>
      <c r="BA50" s="19"/>
      <c r="BB50" s="19"/>
      <c r="BC50" s="19"/>
      <c r="BD50" s="19"/>
      <c r="BE50" s="19"/>
      <c r="BF50" s="19"/>
      <c r="BG50" s="21">
        <f t="shared" si="639"/>
        <v>0</v>
      </c>
      <c r="BI50" s="19"/>
      <c r="BJ50" s="19"/>
      <c r="BK50" s="19"/>
      <c r="BL50" s="19"/>
      <c r="BM50" s="19"/>
      <c r="BN50" s="19"/>
      <c r="BO50" s="19"/>
      <c r="BP50" s="19"/>
      <c r="BQ50" s="19"/>
      <c r="BR50" s="19"/>
      <c r="BS50" s="19"/>
      <c r="BT50" s="19"/>
      <c r="BU50" s="21">
        <f t="shared" si="640"/>
        <v>0</v>
      </c>
      <c r="BW50" s="19"/>
      <c r="BX50" s="19"/>
      <c r="BY50" s="19"/>
      <c r="BZ50" s="19"/>
      <c r="CA50" s="19"/>
      <c r="CB50" s="19"/>
      <c r="CC50" s="19"/>
      <c r="CD50" s="19"/>
      <c r="CE50" s="19"/>
      <c r="CF50" s="19"/>
      <c r="CG50" s="19"/>
      <c r="CH50" s="19"/>
      <c r="CI50" s="21">
        <f t="shared" si="641"/>
        <v>0</v>
      </c>
      <c r="CK50" s="19"/>
      <c r="CL50" s="19"/>
      <c r="CM50" s="19"/>
      <c r="CN50" s="19"/>
      <c r="CO50" s="19"/>
      <c r="CP50" s="19"/>
      <c r="CQ50" s="19"/>
      <c r="CR50" s="19"/>
      <c r="CS50" s="19"/>
      <c r="CT50" s="19"/>
      <c r="CU50" s="19"/>
      <c r="CV50" s="19"/>
      <c r="CW50" s="21">
        <f t="shared" si="642"/>
        <v>0</v>
      </c>
      <c r="CY50" s="19"/>
      <c r="CZ50" s="19"/>
      <c r="DA50" s="19"/>
      <c r="DB50" s="19"/>
      <c r="DC50" s="19"/>
      <c r="DD50" s="19"/>
      <c r="DE50" s="19"/>
      <c r="DF50" s="19"/>
      <c r="DG50" s="19"/>
      <c r="DH50" s="19"/>
      <c r="DI50" s="19"/>
      <c r="DJ50" s="19"/>
      <c r="DK50" s="21">
        <f t="shared" si="643"/>
        <v>0</v>
      </c>
      <c r="DM50" s="19"/>
      <c r="DN50" s="19"/>
      <c r="DO50" s="19"/>
      <c r="DP50" s="19"/>
      <c r="DQ50" s="19"/>
      <c r="DR50" s="19"/>
      <c r="DS50" s="19"/>
      <c r="DT50" s="19"/>
      <c r="DU50" s="19"/>
      <c r="DV50" s="19"/>
      <c r="DW50" s="19"/>
      <c r="DX50" s="19"/>
      <c r="DY50" s="21">
        <f t="shared" si="644"/>
        <v>0</v>
      </c>
      <c r="EA50" s="19"/>
      <c r="EB50" s="19"/>
      <c r="EC50" s="19"/>
      <c r="ED50" s="19"/>
      <c r="EE50" s="19"/>
      <c r="EF50" s="19"/>
      <c r="EG50" s="19"/>
      <c r="EH50" s="19"/>
      <c r="EI50" s="19"/>
      <c r="EJ50" s="19"/>
      <c r="EK50" s="19"/>
      <c r="EL50" s="19"/>
      <c r="EM50" s="21">
        <f t="shared" si="645"/>
        <v>0</v>
      </c>
      <c r="EO50" s="19"/>
      <c r="EP50" s="19"/>
      <c r="EQ50" s="19"/>
      <c r="ER50" s="19"/>
      <c r="ES50" s="19"/>
      <c r="ET50" s="19"/>
      <c r="EU50" s="19"/>
      <c r="EV50" s="19"/>
      <c r="EW50" s="19"/>
      <c r="EX50" s="19"/>
      <c r="EY50" s="19"/>
      <c r="EZ50" s="19"/>
      <c r="FA50" s="21">
        <f t="shared" si="646"/>
        <v>0</v>
      </c>
    </row>
    <row r="51" spans="3:157" x14ac:dyDescent="0.3">
      <c r="C51" s="18" t="s">
        <v>43</v>
      </c>
      <c r="E51" s="19"/>
      <c r="F51" s="19"/>
      <c r="G51" s="19"/>
      <c r="H51" s="19"/>
      <c r="I51" s="19"/>
      <c r="J51" s="19"/>
      <c r="K51" s="19"/>
      <c r="L51" s="19"/>
      <c r="M51" s="19"/>
      <c r="N51" s="19"/>
      <c r="O51" s="19"/>
      <c r="P51" s="19"/>
      <c r="Q51" s="21">
        <f t="shared" si="647"/>
        <v>0</v>
      </c>
      <c r="S51" s="19"/>
      <c r="T51" s="19"/>
      <c r="U51" s="19"/>
      <c r="V51" s="19"/>
      <c r="W51" s="19"/>
      <c r="X51" s="19"/>
      <c r="Y51" s="19"/>
      <c r="Z51" s="19"/>
      <c r="AA51" s="19"/>
      <c r="AB51" s="19"/>
      <c r="AC51" s="19"/>
      <c r="AD51" s="19"/>
      <c r="AE51" s="21">
        <f t="shared" si="648"/>
        <v>0</v>
      </c>
      <c r="AG51" s="19"/>
      <c r="AH51" s="19"/>
      <c r="AI51" s="19"/>
      <c r="AJ51" s="19"/>
      <c r="AK51" s="19"/>
      <c r="AL51" s="19"/>
      <c r="AM51" s="19"/>
      <c r="AN51" s="19"/>
      <c r="AO51" s="19"/>
      <c r="AP51" s="19"/>
      <c r="AQ51" s="19"/>
      <c r="AR51" s="19"/>
      <c r="AS51" s="21">
        <f t="shared" si="638"/>
        <v>0</v>
      </c>
      <c r="AU51" s="19"/>
      <c r="AV51" s="19"/>
      <c r="AW51" s="19"/>
      <c r="AX51" s="19"/>
      <c r="AY51" s="19"/>
      <c r="AZ51" s="19"/>
      <c r="BA51" s="19"/>
      <c r="BB51" s="19"/>
      <c r="BC51" s="19"/>
      <c r="BD51" s="19"/>
      <c r="BE51" s="19"/>
      <c r="BF51" s="19"/>
      <c r="BG51" s="21">
        <f t="shared" si="639"/>
        <v>0</v>
      </c>
      <c r="BI51" s="19"/>
      <c r="BJ51" s="19"/>
      <c r="BK51" s="19"/>
      <c r="BL51" s="19"/>
      <c r="BM51" s="19"/>
      <c r="BN51" s="19"/>
      <c r="BO51" s="19"/>
      <c r="BP51" s="19"/>
      <c r="BQ51" s="19"/>
      <c r="BR51" s="19"/>
      <c r="BS51" s="19"/>
      <c r="BT51" s="19"/>
      <c r="BU51" s="21">
        <f t="shared" si="640"/>
        <v>0</v>
      </c>
      <c r="BW51" s="19"/>
      <c r="BX51" s="19"/>
      <c r="BY51" s="19"/>
      <c r="BZ51" s="19"/>
      <c r="CA51" s="19"/>
      <c r="CB51" s="19"/>
      <c r="CC51" s="19"/>
      <c r="CD51" s="19"/>
      <c r="CE51" s="19"/>
      <c r="CF51" s="19"/>
      <c r="CG51" s="19"/>
      <c r="CH51" s="19"/>
      <c r="CI51" s="21">
        <f t="shared" si="641"/>
        <v>0</v>
      </c>
      <c r="CK51" s="19"/>
      <c r="CL51" s="19"/>
      <c r="CM51" s="19"/>
      <c r="CN51" s="19"/>
      <c r="CO51" s="19"/>
      <c r="CP51" s="19"/>
      <c r="CQ51" s="19"/>
      <c r="CR51" s="19"/>
      <c r="CS51" s="19"/>
      <c r="CT51" s="19"/>
      <c r="CU51" s="19"/>
      <c r="CV51" s="19"/>
      <c r="CW51" s="21">
        <f t="shared" si="642"/>
        <v>0</v>
      </c>
      <c r="CY51" s="19"/>
      <c r="CZ51" s="19"/>
      <c r="DA51" s="19"/>
      <c r="DB51" s="19"/>
      <c r="DC51" s="19"/>
      <c r="DD51" s="19"/>
      <c r="DE51" s="19"/>
      <c r="DF51" s="19"/>
      <c r="DG51" s="19"/>
      <c r="DH51" s="19"/>
      <c r="DI51" s="19"/>
      <c r="DJ51" s="19"/>
      <c r="DK51" s="21">
        <f t="shared" si="643"/>
        <v>0</v>
      </c>
      <c r="DM51" s="19"/>
      <c r="DN51" s="19"/>
      <c r="DO51" s="19"/>
      <c r="DP51" s="19"/>
      <c r="DQ51" s="19"/>
      <c r="DR51" s="19"/>
      <c r="DS51" s="19"/>
      <c r="DT51" s="19"/>
      <c r="DU51" s="19"/>
      <c r="DV51" s="19"/>
      <c r="DW51" s="19"/>
      <c r="DX51" s="19"/>
      <c r="DY51" s="21">
        <f t="shared" si="644"/>
        <v>0</v>
      </c>
      <c r="EA51" s="19"/>
      <c r="EB51" s="19"/>
      <c r="EC51" s="19"/>
      <c r="ED51" s="19"/>
      <c r="EE51" s="19"/>
      <c r="EF51" s="19"/>
      <c r="EG51" s="19"/>
      <c r="EH51" s="19"/>
      <c r="EI51" s="19"/>
      <c r="EJ51" s="19"/>
      <c r="EK51" s="19"/>
      <c r="EL51" s="19"/>
      <c r="EM51" s="21">
        <f t="shared" si="645"/>
        <v>0</v>
      </c>
      <c r="EO51" s="19"/>
      <c r="EP51" s="19"/>
      <c r="EQ51" s="19"/>
      <c r="ER51" s="19"/>
      <c r="ES51" s="19"/>
      <c r="ET51" s="19"/>
      <c r="EU51" s="19"/>
      <c r="EV51" s="19"/>
      <c r="EW51" s="19"/>
      <c r="EX51" s="19"/>
      <c r="EY51" s="19"/>
      <c r="EZ51" s="19"/>
      <c r="FA51" s="21">
        <f t="shared" si="646"/>
        <v>0</v>
      </c>
    </row>
    <row r="52" spans="3:157" hidden="1" x14ac:dyDescent="0.3">
      <c r="C52" s="18" t="s">
        <v>28</v>
      </c>
      <c r="E52" s="19"/>
      <c r="F52" s="19"/>
      <c r="G52" s="19"/>
      <c r="H52" s="19"/>
      <c r="I52" s="19"/>
      <c r="J52" s="19"/>
      <c r="K52" s="19"/>
      <c r="L52" s="19"/>
      <c r="M52" s="19"/>
      <c r="N52" s="19"/>
      <c r="O52" s="19"/>
      <c r="P52" s="19"/>
      <c r="Q52" s="21">
        <f t="shared" si="647"/>
        <v>0</v>
      </c>
      <c r="S52" s="19"/>
      <c r="T52" s="19"/>
      <c r="U52" s="19"/>
      <c r="V52" s="19"/>
      <c r="W52" s="19"/>
      <c r="X52" s="19"/>
      <c r="Y52" s="19"/>
      <c r="Z52" s="19"/>
      <c r="AA52" s="19"/>
      <c r="AB52" s="19"/>
      <c r="AC52" s="19"/>
      <c r="AD52" s="19"/>
      <c r="AE52" s="21">
        <f t="shared" si="648"/>
        <v>0</v>
      </c>
      <c r="AG52" s="19"/>
      <c r="AH52" s="19"/>
      <c r="AI52" s="19"/>
      <c r="AJ52" s="19"/>
      <c r="AK52" s="19"/>
      <c r="AL52" s="19"/>
      <c r="AM52" s="19"/>
      <c r="AN52" s="19"/>
      <c r="AO52" s="19"/>
      <c r="AP52" s="19"/>
      <c r="AQ52" s="19"/>
      <c r="AR52" s="19"/>
      <c r="AS52" s="21">
        <f t="shared" si="638"/>
        <v>0</v>
      </c>
      <c r="AU52" s="19"/>
      <c r="AV52" s="19"/>
      <c r="AW52" s="19"/>
      <c r="AX52" s="19"/>
      <c r="AY52" s="19"/>
      <c r="AZ52" s="19"/>
      <c r="BA52" s="19"/>
      <c r="BB52" s="19"/>
      <c r="BC52" s="19"/>
      <c r="BD52" s="19"/>
      <c r="BE52" s="19"/>
      <c r="BF52" s="19"/>
      <c r="BG52" s="21">
        <f t="shared" si="639"/>
        <v>0</v>
      </c>
      <c r="BI52" s="19"/>
      <c r="BJ52" s="19"/>
      <c r="BK52" s="19"/>
      <c r="BL52" s="19"/>
      <c r="BM52" s="19"/>
      <c r="BN52" s="19"/>
      <c r="BO52" s="19"/>
      <c r="BP52" s="19"/>
      <c r="BQ52" s="19"/>
      <c r="BR52" s="19"/>
      <c r="BS52" s="19"/>
      <c r="BT52" s="19"/>
      <c r="BU52" s="21">
        <f t="shared" si="640"/>
        <v>0</v>
      </c>
      <c r="BW52" s="19"/>
      <c r="BX52" s="19"/>
      <c r="BY52" s="19"/>
      <c r="BZ52" s="19"/>
      <c r="CA52" s="19"/>
      <c r="CB52" s="19"/>
      <c r="CC52" s="19"/>
      <c r="CD52" s="19"/>
      <c r="CE52" s="19"/>
      <c r="CF52" s="19"/>
      <c r="CG52" s="19"/>
      <c r="CH52" s="19"/>
      <c r="CI52" s="21">
        <f t="shared" si="641"/>
        <v>0</v>
      </c>
      <c r="CK52" s="19"/>
      <c r="CL52" s="19"/>
      <c r="CM52" s="19"/>
      <c r="CN52" s="19"/>
      <c r="CO52" s="19"/>
      <c r="CP52" s="19"/>
      <c r="CQ52" s="19"/>
      <c r="CR52" s="19"/>
      <c r="CS52" s="19"/>
      <c r="CT52" s="19"/>
      <c r="CU52" s="19"/>
      <c r="CV52" s="19"/>
      <c r="CW52" s="21">
        <f t="shared" si="642"/>
        <v>0</v>
      </c>
      <c r="CY52" s="19"/>
      <c r="CZ52" s="19"/>
      <c r="DA52" s="19"/>
      <c r="DB52" s="19"/>
      <c r="DC52" s="19"/>
      <c r="DD52" s="19"/>
      <c r="DE52" s="19"/>
      <c r="DF52" s="19"/>
      <c r="DG52" s="19"/>
      <c r="DH52" s="19"/>
      <c r="DI52" s="19"/>
      <c r="DJ52" s="19"/>
      <c r="DK52" s="21">
        <f t="shared" si="643"/>
        <v>0</v>
      </c>
      <c r="DM52" s="19"/>
      <c r="DN52" s="19"/>
      <c r="DO52" s="19"/>
      <c r="DP52" s="19"/>
      <c r="DQ52" s="19"/>
      <c r="DR52" s="19"/>
      <c r="DS52" s="19"/>
      <c r="DT52" s="19"/>
      <c r="DU52" s="19"/>
      <c r="DV52" s="19"/>
      <c r="DW52" s="19"/>
      <c r="DX52" s="19"/>
      <c r="DY52" s="21">
        <f t="shared" si="644"/>
        <v>0</v>
      </c>
      <c r="EA52" s="19"/>
      <c r="EB52" s="19"/>
      <c r="EC52" s="19"/>
      <c r="ED52" s="19"/>
      <c r="EE52" s="19"/>
      <c r="EF52" s="19"/>
      <c r="EG52" s="19"/>
      <c r="EH52" s="19"/>
      <c r="EI52" s="19"/>
      <c r="EJ52" s="19"/>
      <c r="EK52" s="19"/>
      <c r="EL52" s="19"/>
      <c r="EM52" s="21">
        <f t="shared" si="645"/>
        <v>0</v>
      </c>
      <c r="EO52" s="19"/>
      <c r="EP52" s="19"/>
      <c r="EQ52" s="19"/>
      <c r="ER52" s="19"/>
      <c r="ES52" s="19"/>
      <c r="ET52" s="19"/>
      <c r="EU52" s="19"/>
      <c r="EV52" s="19"/>
      <c r="EW52" s="19"/>
      <c r="EX52" s="19"/>
      <c r="EY52" s="19"/>
      <c r="EZ52" s="19"/>
      <c r="FA52" s="21">
        <f t="shared" si="646"/>
        <v>0</v>
      </c>
    </row>
    <row r="53" spans="3:157" hidden="1" x14ac:dyDescent="0.3">
      <c r="C53" s="18" t="s">
        <v>28</v>
      </c>
      <c r="E53" s="19"/>
      <c r="F53" s="19"/>
      <c r="G53" s="19"/>
      <c r="H53" s="19"/>
      <c r="I53" s="19"/>
      <c r="J53" s="19"/>
      <c r="K53" s="19"/>
      <c r="L53" s="19"/>
      <c r="M53" s="19"/>
      <c r="N53" s="19"/>
      <c r="O53" s="19"/>
      <c r="P53" s="19"/>
      <c r="Q53" s="21">
        <f t="shared" si="647"/>
        <v>0</v>
      </c>
      <c r="S53" s="19"/>
      <c r="T53" s="19"/>
      <c r="U53" s="19"/>
      <c r="V53" s="19"/>
      <c r="W53" s="19"/>
      <c r="X53" s="19"/>
      <c r="Y53" s="19"/>
      <c r="Z53" s="19"/>
      <c r="AA53" s="19"/>
      <c r="AB53" s="19"/>
      <c r="AC53" s="19"/>
      <c r="AD53" s="19"/>
      <c r="AE53" s="21">
        <f t="shared" si="648"/>
        <v>0</v>
      </c>
      <c r="AG53" s="19"/>
      <c r="AH53" s="19"/>
      <c r="AI53" s="19"/>
      <c r="AJ53" s="19"/>
      <c r="AK53" s="19"/>
      <c r="AL53" s="19"/>
      <c r="AM53" s="19"/>
      <c r="AN53" s="19"/>
      <c r="AO53" s="19"/>
      <c r="AP53" s="19"/>
      <c r="AQ53" s="19"/>
      <c r="AR53" s="19"/>
      <c r="AS53" s="21">
        <f t="shared" si="638"/>
        <v>0</v>
      </c>
      <c r="AU53" s="19"/>
      <c r="AV53" s="19"/>
      <c r="AW53" s="19"/>
      <c r="AX53" s="19"/>
      <c r="AY53" s="19"/>
      <c r="AZ53" s="19"/>
      <c r="BA53" s="19"/>
      <c r="BB53" s="19"/>
      <c r="BC53" s="19"/>
      <c r="BD53" s="19"/>
      <c r="BE53" s="19"/>
      <c r="BF53" s="19"/>
      <c r="BG53" s="21">
        <f t="shared" si="639"/>
        <v>0</v>
      </c>
      <c r="BI53" s="19"/>
      <c r="BJ53" s="19"/>
      <c r="BK53" s="19"/>
      <c r="BL53" s="19"/>
      <c r="BM53" s="19"/>
      <c r="BN53" s="19"/>
      <c r="BO53" s="19"/>
      <c r="BP53" s="19"/>
      <c r="BQ53" s="19"/>
      <c r="BR53" s="19"/>
      <c r="BS53" s="19"/>
      <c r="BT53" s="19"/>
      <c r="BU53" s="21">
        <f t="shared" si="640"/>
        <v>0</v>
      </c>
      <c r="BW53" s="19"/>
      <c r="BX53" s="19"/>
      <c r="BY53" s="19"/>
      <c r="BZ53" s="19"/>
      <c r="CA53" s="19"/>
      <c r="CB53" s="19"/>
      <c r="CC53" s="19"/>
      <c r="CD53" s="19"/>
      <c r="CE53" s="19"/>
      <c r="CF53" s="19"/>
      <c r="CG53" s="19"/>
      <c r="CH53" s="19"/>
      <c r="CI53" s="21">
        <f t="shared" si="641"/>
        <v>0</v>
      </c>
      <c r="CK53" s="19"/>
      <c r="CL53" s="19"/>
      <c r="CM53" s="19"/>
      <c r="CN53" s="19"/>
      <c r="CO53" s="19"/>
      <c r="CP53" s="19"/>
      <c r="CQ53" s="19"/>
      <c r="CR53" s="19"/>
      <c r="CS53" s="19"/>
      <c r="CT53" s="19"/>
      <c r="CU53" s="19"/>
      <c r="CV53" s="19"/>
      <c r="CW53" s="21">
        <f t="shared" si="642"/>
        <v>0</v>
      </c>
      <c r="CY53" s="19"/>
      <c r="CZ53" s="19"/>
      <c r="DA53" s="19"/>
      <c r="DB53" s="19"/>
      <c r="DC53" s="19"/>
      <c r="DD53" s="19"/>
      <c r="DE53" s="19"/>
      <c r="DF53" s="19"/>
      <c r="DG53" s="19"/>
      <c r="DH53" s="19"/>
      <c r="DI53" s="19"/>
      <c r="DJ53" s="19"/>
      <c r="DK53" s="21">
        <f t="shared" si="643"/>
        <v>0</v>
      </c>
      <c r="DM53" s="19"/>
      <c r="DN53" s="19"/>
      <c r="DO53" s="19"/>
      <c r="DP53" s="19"/>
      <c r="DQ53" s="19"/>
      <c r="DR53" s="19"/>
      <c r="DS53" s="19"/>
      <c r="DT53" s="19"/>
      <c r="DU53" s="19"/>
      <c r="DV53" s="19"/>
      <c r="DW53" s="19"/>
      <c r="DX53" s="19"/>
      <c r="DY53" s="21">
        <f t="shared" si="644"/>
        <v>0</v>
      </c>
      <c r="EA53" s="19"/>
      <c r="EB53" s="19"/>
      <c r="EC53" s="19"/>
      <c r="ED53" s="19"/>
      <c r="EE53" s="19"/>
      <c r="EF53" s="19"/>
      <c r="EG53" s="19"/>
      <c r="EH53" s="19"/>
      <c r="EI53" s="19"/>
      <c r="EJ53" s="19"/>
      <c r="EK53" s="19"/>
      <c r="EL53" s="19"/>
      <c r="EM53" s="21">
        <f t="shared" si="645"/>
        <v>0</v>
      </c>
      <c r="EO53" s="19"/>
      <c r="EP53" s="19"/>
      <c r="EQ53" s="19"/>
      <c r="ER53" s="19"/>
      <c r="ES53" s="19"/>
      <c r="ET53" s="19"/>
      <c r="EU53" s="19"/>
      <c r="EV53" s="19"/>
      <c r="EW53" s="19"/>
      <c r="EX53" s="19"/>
      <c r="EY53" s="19"/>
      <c r="EZ53" s="19"/>
      <c r="FA53" s="21">
        <f t="shared" si="646"/>
        <v>0</v>
      </c>
    </row>
    <row r="54" spans="3:157" hidden="1" x14ac:dyDescent="0.3">
      <c r="C54" s="18" t="s">
        <v>28</v>
      </c>
      <c r="E54" s="19"/>
      <c r="F54" s="19"/>
      <c r="G54" s="19"/>
      <c r="H54" s="19"/>
      <c r="I54" s="19"/>
      <c r="J54" s="19"/>
      <c r="K54" s="19"/>
      <c r="L54" s="19"/>
      <c r="M54" s="19"/>
      <c r="N54" s="19"/>
      <c r="O54" s="19"/>
      <c r="P54" s="19"/>
      <c r="Q54" s="21">
        <f t="shared" si="647"/>
        <v>0</v>
      </c>
      <c r="S54" s="19"/>
      <c r="T54" s="19"/>
      <c r="U54" s="19"/>
      <c r="V54" s="19"/>
      <c r="W54" s="19"/>
      <c r="X54" s="19"/>
      <c r="Y54" s="19"/>
      <c r="Z54" s="19"/>
      <c r="AA54" s="19"/>
      <c r="AB54" s="19"/>
      <c r="AC54" s="19"/>
      <c r="AD54" s="19"/>
      <c r="AE54" s="21">
        <f t="shared" si="648"/>
        <v>0</v>
      </c>
      <c r="AG54" s="19"/>
      <c r="AH54" s="19"/>
      <c r="AI54" s="19"/>
      <c r="AJ54" s="19"/>
      <c r="AK54" s="19"/>
      <c r="AL54" s="19"/>
      <c r="AM54" s="19"/>
      <c r="AN54" s="19"/>
      <c r="AO54" s="19"/>
      <c r="AP54" s="19"/>
      <c r="AQ54" s="19"/>
      <c r="AR54" s="19"/>
      <c r="AS54" s="21">
        <f t="shared" si="638"/>
        <v>0</v>
      </c>
      <c r="AU54" s="19"/>
      <c r="AV54" s="19"/>
      <c r="AW54" s="19"/>
      <c r="AX54" s="19"/>
      <c r="AY54" s="19"/>
      <c r="AZ54" s="19"/>
      <c r="BA54" s="19"/>
      <c r="BB54" s="19"/>
      <c r="BC54" s="19"/>
      <c r="BD54" s="19"/>
      <c r="BE54" s="19"/>
      <c r="BF54" s="19"/>
      <c r="BG54" s="21">
        <f t="shared" si="639"/>
        <v>0</v>
      </c>
      <c r="BI54" s="19"/>
      <c r="BJ54" s="19"/>
      <c r="BK54" s="19"/>
      <c r="BL54" s="19"/>
      <c r="BM54" s="19"/>
      <c r="BN54" s="19"/>
      <c r="BO54" s="19"/>
      <c r="BP54" s="19"/>
      <c r="BQ54" s="19"/>
      <c r="BR54" s="19"/>
      <c r="BS54" s="19"/>
      <c r="BT54" s="19"/>
      <c r="BU54" s="21">
        <f t="shared" si="640"/>
        <v>0</v>
      </c>
      <c r="BW54" s="19"/>
      <c r="BX54" s="19"/>
      <c r="BY54" s="19"/>
      <c r="BZ54" s="19"/>
      <c r="CA54" s="19"/>
      <c r="CB54" s="19"/>
      <c r="CC54" s="19"/>
      <c r="CD54" s="19"/>
      <c r="CE54" s="19"/>
      <c r="CF54" s="19"/>
      <c r="CG54" s="19"/>
      <c r="CH54" s="19"/>
      <c r="CI54" s="21">
        <f t="shared" si="641"/>
        <v>0</v>
      </c>
      <c r="CK54" s="19"/>
      <c r="CL54" s="19"/>
      <c r="CM54" s="19"/>
      <c r="CN54" s="19"/>
      <c r="CO54" s="19"/>
      <c r="CP54" s="19"/>
      <c r="CQ54" s="19"/>
      <c r="CR54" s="19"/>
      <c r="CS54" s="19"/>
      <c r="CT54" s="19"/>
      <c r="CU54" s="19"/>
      <c r="CV54" s="19"/>
      <c r="CW54" s="21">
        <f t="shared" si="642"/>
        <v>0</v>
      </c>
      <c r="CY54" s="19"/>
      <c r="CZ54" s="19"/>
      <c r="DA54" s="19"/>
      <c r="DB54" s="19"/>
      <c r="DC54" s="19"/>
      <c r="DD54" s="19"/>
      <c r="DE54" s="19"/>
      <c r="DF54" s="19"/>
      <c r="DG54" s="19"/>
      <c r="DH54" s="19"/>
      <c r="DI54" s="19"/>
      <c r="DJ54" s="19"/>
      <c r="DK54" s="21">
        <f t="shared" si="643"/>
        <v>0</v>
      </c>
      <c r="DM54" s="19"/>
      <c r="DN54" s="19"/>
      <c r="DO54" s="19"/>
      <c r="DP54" s="19"/>
      <c r="DQ54" s="19"/>
      <c r="DR54" s="19"/>
      <c r="DS54" s="19"/>
      <c r="DT54" s="19"/>
      <c r="DU54" s="19"/>
      <c r="DV54" s="19"/>
      <c r="DW54" s="19"/>
      <c r="DX54" s="19"/>
      <c r="DY54" s="21">
        <f t="shared" si="644"/>
        <v>0</v>
      </c>
      <c r="EA54" s="19"/>
      <c r="EB54" s="19"/>
      <c r="EC54" s="19"/>
      <c r="ED54" s="19"/>
      <c r="EE54" s="19"/>
      <c r="EF54" s="19"/>
      <c r="EG54" s="19"/>
      <c r="EH54" s="19"/>
      <c r="EI54" s="19"/>
      <c r="EJ54" s="19"/>
      <c r="EK54" s="19"/>
      <c r="EL54" s="19"/>
      <c r="EM54" s="21">
        <f t="shared" si="645"/>
        <v>0</v>
      </c>
      <c r="EO54" s="19"/>
      <c r="EP54" s="19"/>
      <c r="EQ54" s="19"/>
      <c r="ER54" s="19"/>
      <c r="ES54" s="19"/>
      <c r="ET54" s="19"/>
      <c r="EU54" s="19"/>
      <c r="EV54" s="19"/>
      <c r="EW54" s="19"/>
      <c r="EX54" s="19"/>
      <c r="EY54" s="19"/>
      <c r="EZ54" s="19"/>
      <c r="FA54" s="21">
        <f t="shared" si="646"/>
        <v>0</v>
      </c>
    </row>
    <row r="55" spans="3:157" hidden="1" x14ac:dyDescent="0.3">
      <c r="C55" s="18" t="s">
        <v>28</v>
      </c>
      <c r="E55" s="19"/>
      <c r="F55" s="19"/>
      <c r="G55" s="19"/>
      <c r="H55" s="19"/>
      <c r="I55" s="19"/>
      <c r="J55" s="19"/>
      <c r="K55" s="19"/>
      <c r="L55" s="19"/>
      <c r="M55" s="19"/>
      <c r="N55" s="19"/>
      <c r="O55" s="19"/>
      <c r="P55" s="19"/>
      <c r="Q55" s="21">
        <f t="shared" si="647"/>
        <v>0</v>
      </c>
      <c r="S55" s="19"/>
      <c r="T55" s="19"/>
      <c r="U55" s="19"/>
      <c r="V55" s="19"/>
      <c r="W55" s="19"/>
      <c r="X55" s="19"/>
      <c r="Y55" s="19"/>
      <c r="Z55" s="19"/>
      <c r="AA55" s="19"/>
      <c r="AB55" s="19"/>
      <c r="AC55" s="19"/>
      <c r="AD55" s="19"/>
      <c r="AE55" s="21">
        <f t="shared" si="648"/>
        <v>0</v>
      </c>
      <c r="AG55" s="19"/>
      <c r="AH55" s="19"/>
      <c r="AI55" s="19"/>
      <c r="AJ55" s="19"/>
      <c r="AK55" s="19"/>
      <c r="AL55" s="19"/>
      <c r="AM55" s="19"/>
      <c r="AN55" s="19"/>
      <c r="AO55" s="19"/>
      <c r="AP55" s="19"/>
      <c r="AQ55" s="19"/>
      <c r="AR55" s="19"/>
      <c r="AS55" s="21">
        <f t="shared" si="638"/>
        <v>0</v>
      </c>
      <c r="AU55" s="19"/>
      <c r="AV55" s="19"/>
      <c r="AW55" s="19"/>
      <c r="AX55" s="19"/>
      <c r="AY55" s="19"/>
      <c r="AZ55" s="19"/>
      <c r="BA55" s="19"/>
      <c r="BB55" s="19"/>
      <c r="BC55" s="19"/>
      <c r="BD55" s="19"/>
      <c r="BE55" s="19"/>
      <c r="BF55" s="19"/>
      <c r="BG55" s="21">
        <f t="shared" si="639"/>
        <v>0</v>
      </c>
      <c r="BI55" s="19"/>
      <c r="BJ55" s="19"/>
      <c r="BK55" s="19"/>
      <c r="BL55" s="19"/>
      <c r="BM55" s="19"/>
      <c r="BN55" s="19"/>
      <c r="BO55" s="19"/>
      <c r="BP55" s="19"/>
      <c r="BQ55" s="19"/>
      <c r="BR55" s="19"/>
      <c r="BS55" s="19"/>
      <c r="BT55" s="19"/>
      <c r="BU55" s="21">
        <f t="shared" si="640"/>
        <v>0</v>
      </c>
      <c r="BW55" s="19"/>
      <c r="BX55" s="19"/>
      <c r="BY55" s="19"/>
      <c r="BZ55" s="19"/>
      <c r="CA55" s="19"/>
      <c r="CB55" s="19"/>
      <c r="CC55" s="19"/>
      <c r="CD55" s="19"/>
      <c r="CE55" s="19"/>
      <c r="CF55" s="19"/>
      <c r="CG55" s="19"/>
      <c r="CH55" s="19"/>
      <c r="CI55" s="21">
        <f t="shared" si="641"/>
        <v>0</v>
      </c>
      <c r="CK55" s="19"/>
      <c r="CL55" s="19"/>
      <c r="CM55" s="19"/>
      <c r="CN55" s="19"/>
      <c r="CO55" s="19"/>
      <c r="CP55" s="19"/>
      <c r="CQ55" s="19"/>
      <c r="CR55" s="19"/>
      <c r="CS55" s="19"/>
      <c r="CT55" s="19"/>
      <c r="CU55" s="19"/>
      <c r="CV55" s="19"/>
      <c r="CW55" s="21">
        <f t="shared" si="642"/>
        <v>0</v>
      </c>
      <c r="CY55" s="19"/>
      <c r="CZ55" s="19"/>
      <c r="DA55" s="19"/>
      <c r="DB55" s="19"/>
      <c r="DC55" s="19"/>
      <c r="DD55" s="19"/>
      <c r="DE55" s="19"/>
      <c r="DF55" s="19"/>
      <c r="DG55" s="19"/>
      <c r="DH55" s="19"/>
      <c r="DI55" s="19"/>
      <c r="DJ55" s="19"/>
      <c r="DK55" s="21">
        <f t="shared" si="643"/>
        <v>0</v>
      </c>
      <c r="DM55" s="19"/>
      <c r="DN55" s="19"/>
      <c r="DO55" s="19"/>
      <c r="DP55" s="19"/>
      <c r="DQ55" s="19"/>
      <c r="DR55" s="19"/>
      <c r="DS55" s="19"/>
      <c r="DT55" s="19"/>
      <c r="DU55" s="19"/>
      <c r="DV55" s="19"/>
      <c r="DW55" s="19"/>
      <c r="DX55" s="19"/>
      <c r="DY55" s="21">
        <f t="shared" si="644"/>
        <v>0</v>
      </c>
      <c r="EA55" s="19"/>
      <c r="EB55" s="19"/>
      <c r="EC55" s="19"/>
      <c r="ED55" s="19"/>
      <c r="EE55" s="19"/>
      <c r="EF55" s="19"/>
      <c r="EG55" s="19"/>
      <c r="EH55" s="19"/>
      <c r="EI55" s="19"/>
      <c r="EJ55" s="19"/>
      <c r="EK55" s="19"/>
      <c r="EL55" s="19"/>
      <c r="EM55" s="21">
        <f t="shared" si="645"/>
        <v>0</v>
      </c>
      <c r="EO55" s="19"/>
      <c r="EP55" s="19"/>
      <c r="EQ55" s="19"/>
      <c r="ER55" s="19"/>
      <c r="ES55" s="19"/>
      <c r="ET55" s="19"/>
      <c r="EU55" s="19"/>
      <c r="EV55" s="19"/>
      <c r="EW55" s="19"/>
      <c r="EX55" s="19"/>
      <c r="EY55" s="19"/>
      <c r="EZ55" s="19"/>
      <c r="FA55" s="21">
        <f t="shared" si="646"/>
        <v>0</v>
      </c>
    </row>
    <row r="56" spans="3:157" hidden="1" x14ac:dyDescent="0.3">
      <c r="C56" s="18" t="s">
        <v>28</v>
      </c>
      <c r="E56" s="19"/>
      <c r="F56" s="19"/>
      <c r="G56" s="19"/>
      <c r="H56" s="19"/>
      <c r="I56" s="19"/>
      <c r="J56" s="19"/>
      <c r="K56" s="19"/>
      <c r="L56" s="19"/>
      <c r="M56" s="19"/>
      <c r="N56" s="19"/>
      <c r="O56" s="19"/>
      <c r="P56" s="19"/>
      <c r="Q56" s="21">
        <f t="shared" si="647"/>
        <v>0</v>
      </c>
      <c r="S56" s="19"/>
      <c r="T56" s="19"/>
      <c r="U56" s="19"/>
      <c r="V56" s="19"/>
      <c r="W56" s="19"/>
      <c r="X56" s="19"/>
      <c r="Y56" s="19"/>
      <c r="Z56" s="19"/>
      <c r="AA56" s="19"/>
      <c r="AB56" s="19"/>
      <c r="AC56" s="19"/>
      <c r="AD56" s="19"/>
      <c r="AE56" s="21">
        <f t="shared" si="648"/>
        <v>0</v>
      </c>
      <c r="AG56" s="19"/>
      <c r="AH56" s="19"/>
      <c r="AI56" s="19"/>
      <c r="AJ56" s="19"/>
      <c r="AK56" s="19"/>
      <c r="AL56" s="19"/>
      <c r="AM56" s="19"/>
      <c r="AN56" s="19"/>
      <c r="AO56" s="19"/>
      <c r="AP56" s="19"/>
      <c r="AQ56" s="19"/>
      <c r="AR56" s="19"/>
      <c r="AS56" s="21">
        <f t="shared" si="638"/>
        <v>0</v>
      </c>
      <c r="AU56" s="19"/>
      <c r="AV56" s="19"/>
      <c r="AW56" s="19"/>
      <c r="AX56" s="19"/>
      <c r="AY56" s="19"/>
      <c r="AZ56" s="19"/>
      <c r="BA56" s="19"/>
      <c r="BB56" s="19"/>
      <c r="BC56" s="19"/>
      <c r="BD56" s="19"/>
      <c r="BE56" s="19"/>
      <c r="BF56" s="19"/>
      <c r="BG56" s="21">
        <f t="shared" si="639"/>
        <v>0</v>
      </c>
      <c r="BI56" s="19"/>
      <c r="BJ56" s="19"/>
      <c r="BK56" s="19"/>
      <c r="BL56" s="19"/>
      <c r="BM56" s="19"/>
      <c r="BN56" s="19"/>
      <c r="BO56" s="19"/>
      <c r="BP56" s="19"/>
      <c r="BQ56" s="19"/>
      <c r="BR56" s="19"/>
      <c r="BS56" s="19"/>
      <c r="BT56" s="19"/>
      <c r="BU56" s="21">
        <f t="shared" si="640"/>
        <v>0</v>
      </c>
      <c r="BW56" s="19"/>
      <c r="BX56" s="19"/>
      <c r="BY56" s="19"/>
      <c r="BZ56" s="19"/>
      <c r="CA56" s="19"/>
      <c r="CB56" s="19"/>
      <c r="CC56" s="19"/>
      <c r="CD56" s="19"/>
      <c r="CE56" s="19"/>
      <c r="CF56" s="19"/>
      <c r="CG56" s="19"/>
      <c r="CH56" s="19"/>
      <c r="CI56" s="21">
        <f t="shared" si="641"/>
        <v>0</v>
      </c>
      <c r="CK56" s="19"/>
      <c r="CL56" s="19"/>
      <c r="CM56" s="19"/>
      <c r="CN56" s="19"/>
      <c r="CO56" s="19"/>
      <c r="CP56" s="19"/>
      <c r="CQ56" s="19"/>
      <c r="CR56" s="19"/>
      <c r="CS56" s="19"/>
      <c r="CT56" s="19"/>
      <c r="CU56" s="19"/>
      <c r="CV56" s="19"/>
      <c r="CW56" s="21">
        <f t="shared" si="642"/>
        <v>0</v>
      </c>
      <c r="CY56" s="19"/>
      <c r="CZ56" s="19"/>
      <c r="DA56" s="19"/>
      <c r="DB56" s="19"/>
      <c r="DC56" s="19"/>
      <c r="DD56" s="19"/>
      <c r="DE56" s="19"/>
      <c r="DF56" s="19"/>
      <c r="DG56" s="19"/>
      <c r="DH56" s="19"/>
      <c r="DI56" s="19"/>
      <c r="DJ56" s="19"/>
      <c r="DK56" s="21">
        <f t="shared" si="643"/>
        <v>0</v>
      </c>
      <c r="DM56" s="19"/>
      <c r="DN56" s="19"/>
      <c r="DO56" s="19"/>
      <c r="DP56" s="19"/>
      <c r="DQ56" s="19"/>
      <c r="DR56" s="19"/>
      <c r="DS56" s="19"/>
      <c r="DT56" s="19"/>
      <c r="DU56" s="19"/>
      <c r="DV56" s="19"/>
      <c r="DW56" s="19"/>
      <c r="DX56" s="19"/>
      <c r="DY56" s="21">
        <f t="shared" si="644"/>
        <v>0</v>
      </c>
      <c r="EA56" s="19"/>
      <c r="EB56" s="19"/>
      <c r="EC56" s="19"/>
      <c r="ED56" s="19"/>
      <c r="EE56" s="19"/>
      <c r="EF56" s="19"/>
      <c r="EG56" s="19"/>
      <c r="EH56" s="19"/>
      <c r="EI56" s="19"/>
      <c r="EJ56" s="19"/>
      <c r="EK56" s="19"/>
      <c r="EL56" s="19"/>
      <c r="EM56" s="21">
        <f t="shared" si="645"/>
        <v>0</v>
      </c>
      <c r="EO56" s="19"/>
      <c r="EP56" s="19"/>
      <c r="EQ56" s="19"/>
      <c r="ER56" s="19"/>
      <c r="ES56" s="19"/>
      <c r="ET56" s="19"/>
      <c r="EU56" s="19"/>
      <c r="EV56" s="19"/>
      <c r="EW56" s="19"/>
      <c r="EX56" s="19"/>
      <c r="EY56" s="19"/>
      <c r="EZ56" s="19"/>
      <c r="FA56" s="21">
        <f t="shared" si="646"/>
        <v>0</v>
      </c>
    </row>
    <row r="57" spans="3:157" hidden="1" x14ac:dyDescent="0.3">
      <c r="C57" s="18" t="s">
        <v>28</v>
      </c>
      <c r="E57" s="19"/>
      <c r="F57" s="19"/>
      <c r="G57" s="19"/>
      <c r="H57" s="19"/>
      <c r="I57" s="19"/>
      <c r="J57" s="19"/>
      <c r="K57" s="19"/>
      <c r="L57" s="19"/>
      <c r="M57" s="19"/>
      <c r="N57" s="19"/>
      <c r="O57" s="19"/>
      <c r="P57" s="19"/>
      <c r="Q57" s="21">
        <f t="shared" si="647"/>
        <v>0</v>
      </c>
      <c r="S57" s="19"/>
      <c r="T57" s="19"/>
      <c r="U57" s="19"/>
      <c r="V57" s="19"/>
      <c r="W57" s="19"/>
      <c r="X57" s="19"/>
      <c r="Y57" s="19"/>
      <c r="Z57" s="19"/>
      <c r="AA57" s="19"/>
      <c r="AB57" s="19"/>
      <c r="AC57" s="19"/>
      <c r="AD57" s="19"/>
      <c r="AE57" s="21">
        <f t="shared" si="648"/>
        <v>0</v>
      </c>
      <c r="AG57" s="19"/>
      <c r="AH57" s="19"/>
      <c r="AI57" s="19"/>
      <c r="AJ57" s="19"/>
      <c r="AK57" s="19"/>
      <c r="AL57" s="19"/>
      <c r="AM57" s="19"/>
      <c r="AN57" s="19"/>
      <c r="AO57" s="19"/>
      <c r="AP57" s="19"/>
      <c r="AQ57" s="19"/>
      <c r="AR57" s="19"/>
      <c r="AS57" s="21">
        <f t="shared" si="638"/>
        <v>0</v>
      </c>
      <c r="AU57" s="19"/>
      <c r="AV57" s="19"/>
      <c r="AW57" s="19"/>
      <c r="AX57" s="19"/>
      <c r="AY57" s="19"/>
      <c r="AZ57" s="19"/>
      <c r="BA57" s="19"/>
      <c r="BB57" s="19"/>
      <c r="BC57" s="19"/>
      <c r="BD57" s="19"/>
      <c r="BE57" s="19"/>
      <c r="BF57" s="19"/>
      <c r="BG57" s="21">
        <f t="shared" si="639"/>
        <v>0</v>
      </c>
      <c r="BI57" s="19"/>
      <c r="BJ57" s="19"/>
      <c r="BK57" s="19"/>
      <c r="BL57" s="19"/>
      <c r="BM57" s="19"/>
      <c r="BN57" s="19"/>
      <c r="BO57" s="19"/>
      <c r="BP57" s="19"/>
      <c r="BQ57" s="19"/>
      <c r="BR57" s="19"/>
      <c r="BS57" s="19"/>
      <c r="BT57" s="19"/>
      <c r="BU57" s="21">
        <f t="shared" si="640"/>
        <v>0</v>
      </c>
      <c r="BW57" s="19"/>
      <c r="BX57" s="19"/>
      <c r="BY57" s="19"/>
      <c r="BZ57" s="19"/>
      <c r="CA57" s="19"/>
      <c r="CB57" s="19"/>
      <c r="CC57" s="19"/>
      <c r="CD57" s="19"/>
      <c r="CE57" s="19"/>
      <c r="CF57" s="19"/>
      <c r="CG57" s="19"/>
      <c r="CH57" s="19"/>
      <c r="CI57" s="21">
        <f t="shared" si="641"/>
        <v>0</v>
      </c>
      <c r="CK57" s="19"/>
      <c r="CL57" s="19"/>
      <c r="CM57" s="19"/>
      <c r="CN57" s="19"/>
      <c r="CO57" s="19"/>
      <c r="CP57" s="19"/>
      <c r="CQ57" s="19"/>
      <c r="CR57" s="19"/>
      <c r="CS57" s="19"/>
      <c r="CT57" s="19"/>
      <c r="CU57" s="19"/>
      <c r="CV57" s="19"/>
      <c r="CW57" s="21">
        <f t="shared" si="642"/>
        <v>0</v>
      </c>
      <c r="CY57" s="19"/>
      <c r="CZ57" s="19"/>
      <c r="DA57" s="19"/>
      <c r="DB57" s="19"/>
      <c r="DC57" s="19"/>
      <c r="DD57" s="19"/>
      <c r="DE57" s="19"/>
      <c r="DF57" s="19"/>
      <c r="DG57" s="19"/>
      <c r="DH57" s="19"/>
      <c r="DI57" s="19"/>
      <c r="DJ57" s="19"/>
      <c r="DK57" s="21">
        <f t="shared" si="643"/>
        <v>0</v>
      </c>
      <c r="DM57" s="19"/>
      <c r="DN57" s="19"/>
      <c r="DO57" s="19"/>
      <c r="DP57" s="19"/>
      <c r="DQ57" s="19"/>
      <c r="DR57" s="19"/>
      <c r="DS57" s="19"/>
      <c r="DT57" s="19"/>
      <c r="DU57" s="19"/>
      <c r="DV57" s="19"/>
      <c r="DW57" s="19"/>
      <c r="DX57" s="19"/>
      <c r="DY57" s="21">
        <f t="shared" si="644"/>
        <v>0</v>
      </c>
      <c r="EA57" s="19"/>
      <c r="EB57" s="19"/>
      <c r="EC57" s="19"/>
      <c r="ED57" s="19"/>
      <c r="EE57" s="19"/>
      <c r="EF57" s="19"/>
      <c r="EG57" s="19"/>
      <c r="EH57" s="19"/>
      <c r="EI57" s="19"/>
      <c r="EJ57" s="19"/>
      <c r="EK57" s="19"/>
      <c r="EL57" s="19"/>
      <c r="EM57" s="21">
        <f t="shared" si="645"/>
        <v>0</v>
      </c>
      <c r="EO57" s="19"/>
      <c r="EP57" s="19"/>
      <c r="EQ57" s="19"/>
      <c r="ER57" s="19"/>
      <c r="ES57" s="19"/>
      <c r="ET57" s="19"/>
      <c r="EU57" s="19"/>
      <c r="EV57" s="19"/>
      <c r="EW57" s="19"/>
      <c r="EX57" s="19"/>
      <c r="EY57" s="19"/>
      <c r="EZ57" s="19"/>
      <c r="FA57" s="21">
        <f t="shared" si="646"/>
        <v>0</v>
      </c>
    </row>
    <row r="58" spans="3:157" hidden="1" x14ac:dyDescent="0.3">
      <c r="C58" s="18" t="s">
        <v>28</v>
      </c>
      <c r="E58" s="19"/>
      <c r="F58" s="19"/>
      <c r="G58" s="19"/>
      <c r="H58" s="19"/>
      <c r="I58" s="19"/>
      <c r="J58" s="19"/>
      <c r="K58" s="19"/>
      <c r="L58" s="19"/>
      <c r="M58" s="19"/>
      <c r="N58" s="19"/>
      <c r="O58" s="19"/>
      <c r="P58" s="19"/>
      <c r="Q58" s="21">
        <f t="shared" si="647"/>
        <v>0</v>
      </c>
      <c r="S58" s="19"/>
      <c r="T58" s="19"/>
      <c r="U58" s="19"/>
      <c r="V58" s="19"/>
      <c r="W58" s="19"/>
      <c r="X58" s="19"/>
      <c r="Y58" s="19"/>
      <c r="Z58" s="19"/>
      <c r="AA58" s="19"/>
      <c r="AB58" s="19"/>
      <c r="AC58" s="19"/>
      <c r="AD58" s="19"/>
      <c r="AE58" s="21">
        <f t="shared" si="648"/>
        <v>0</v>
      </c>
      <c r="AG58" s="19"/>
      <c r="AH58" s="19"/>
      <c r="AI58" s="19"/>
      <c r="AJ58" s="19"/>
      <c r="AK58" s="19"/>
      <c r="AL58" s="19"/>
      <c r="AM58" s="19"/>
      <c r="AN58" s="19"/>
      <c r="AO58" s="19"/>
      <c r="AP58" s="19"/>
      <c r="AQ58" s="19"/>
      <c r="AR58" s="19"/>
      <c r="AS58" s="21">
        <f t="shared" si="638"/>
        <v>0</v>
      </c>
      <c r="AU58" s="19"/>
      <c r="AV58" s="19"/>
      <c r="AW58" s="19"/>
      <c r="AX58" s="19"/>
      <c r="AY58" s="19"/>
      <c r="AZ58" s="19"/>
      <c r="BA58" s="19"/>
      <c r="BB58" s="19"/>
      <c r="BC58" s="19"/>
      <c r="BD58" s="19"/>
      <c r="BE58" s="19"/>
      <c r="BF58" s="19"/>
      <c r="BG58" s="21">
        <f t="shared" si="639"/>
        <v>0</v>
      </c>
      <c r="BI58" s="19"/>
      <c r="BJ58" s="19"/>
      <c r="BK58" s="19"/>
      <c r="BL58" s="19"/>
      <c r="BM58" s="19"/>
      <c r="BN58" s="19"/>
      <c r="BO58" s="19"/>
      <c r="BP58" s="19"/>
      <c r="BQ58" s="19"/>
      <c r="BR58" s="19"/>
      <c r="BS58" s="19"/>
      <c r="BT58" s="19"/>
      <c r="BU58" s="21">
        <f t="shared" si="640"/>
        <v>0</v>
      </c>
      <c r="BW58" s="19"/>
      <c r="BX58" s="19"/>
      <c r="BY58" s="19"/>
      <c r="BZ58" s="19"/>
      <c r="CA58" s="19"/>
      <c r="CB58" s="19"/>
      <c r="CC58" s="19"/>
      <c r="CD58" s="19"/>
      <c r="CE58" s="19"/>
      <c r="CF58" s="19"/>
      <c r="CG58" s="19"/>
      <c r="CH58" s="19"/>
      <c r="CI58" s="21">
        <f t="shared" si="641"/>
        <v>0</v>
      </c>
      <c r="CK58" s="19"/>
      <c r="CL58" s="19"/>
      <c r="CM58" s="19"/>
      <c r="CN58" s="19"/>
      <c r="CO58" s="19"/>
      <c r="CP58" s="19"/>
      <c r="CQ58" s="19"/>
      <c r="CR58" s="19"/>
      <c r="CS58" s="19"/>
      <c r="CT58" s="19"/>
      <c r="CU58" s="19"/>
      <c r="CV58" s="19"/>
      <c r="CW58" s="21">
        <f t="shared" si="642"/>
        <v>0</v>
      </c>
      <c r="CY58" s="19"/>
      <c r="CZ58" s="19"/>
      <c r="DA58" s="19"/>
      <c r="DB58" s="19"/>
      <c r="DC58" s="19"/>
      <c r="DD58" s="19"/>
      <c r="DE58" s="19"/>
      <c r="DF58" s="19"/>
      <c r="DG58" s="19"/>
      <c r="DH58" s="19"/>
      <c r="DI58" s="19"/>
      <c r="DJ58" s="19"/>
      <c r="DK58" s="21">
        <f t="shared" si="643"/>
        <v>0</v>
      </c>
      <c r="DM58" s="19"/>
      <c r="DN58" s="19"/>
      <c r="DO58" s="19"/>
      <c r="DP58" s="19"/>
      <c r="DQ58" s="19"/>
      <c r="DR58" s="19"/>
      <c r="DS58" s="19"/>
      <c r="DT58" s="19"/>
      <c r="DU58" s="19"/>
      <c r="DV58" s="19"/>
      <c r="DW58" s="19"/>
      <c r="DX58" s="19"/>
      <c r="DY58" s="21">
        <f t="shared" si="644"/>
        <v>0</v>
      </c>
      <c r="EA58" s="19"/>
      <c r="EB58" s="19"/>
      <c r="EC58" s="19"/>
      <c r="ED58" s="19"/>
      <c r="EE58" s="19"/>
      <c r="EF58" s="19"/>
      <c r="EG58" s="19"/>
      <c r="EH58" s="19"/>
      <c r="EI58" s="19"/>
      <c r="EJ58" s="19"/>
      <c r="EK58" s="19"/>
      <c r="EL58" s="19"/>
      <c r="EM58" s="21">
        <f t="shared" si="645"/>
        <v>0</v>
      </c>
      <c r="EO58" s="19"/>
      <c r="EP58" s="19"/>
      <c r="EQ58" s="19"/>
      <c r="ER58" s="19"/>
      <c r="ES58" s="19"/>
      <c r="ET58" s="19"/>
      <c r="EU58" s="19"/>
      <c r="EV58" s="19"/>
      <c r="EW58" s="19"/>
      <c r="EX58" s="19"/>
      <c r="EY58" s="19"/>
      <c r="EZ58" s="19"/>
      <c r="FA58" s="21">
        <f t="shared" si="646"/>
        <v>0</v>
      </c>
    </row>
    <row r="59" spans="3:157" x14ac:dyDescent="0.3">
      <c r="C59" s="17" t="s">
        <v>19</v>
      </c>
      <c r="E59" s="20" cm="1">
        <f t="array" aca="1" ref="E59" ca="1">SUM(INDIRECT(ADDRESS(Investment_Min_Row,COLUMN()) &amp; ":" &amp; ADDRESS(Investment_Max_Row, COLUMN())))</f>
        <v>0</v>
      </c>
      <c r="F59" s="20" cm="1">
        <f t="array" aca="1" ref="F59" ca="1">SUM(INDIRECT(ADDRESS(Investment_Min_Row,COLUMN()) &amp; ":" &amp; ADDRESS(Investment_Max_Row, COLUMN())))</f>
        <v>0</v>
      </c>
      <c r="G59" s="20" cm="1">
        <f t="array" aca="1" ref="G59" ca="1">SUM(INDIRECT(ADDRESS(Investment_Min_Row,COLUMN()) &amp; ":" &amp; ADDRESS(Investment_Max_Row, COLUMN())))</f>
        <v>0</v>
      </c>
      <c r="H59" s="20" cm="1">
        <f t="array" aca="1" ref="H59" ca="1">SUM(INDIRECT(ADDRESS(Investment_Min_Row,COLUMN()) &amp; ":" &amp; ADDRESS(Investment_Max_Row, COLUMN())))</f>
        <v>0</v>
      </c>
      <c r="I59" s="20" cm="1">
        <f t="array" aca="1" ref="I59" ca="1">SUM(INDIRECT(ADDRESS(Investment_Min_Row,COLUMN()) &amp; ":" &amp; ADDRESS(Investment_Max_Row, COLUMN())))</f>
        <v>0</v>
      </c>
      <c r="J59" s="20" cm="1">
        <f t="array" aca="1" ref="J59" ca="1">SUM(INDIRECT(ADDRESS(Investment_Min_Row,COLUMN()) &amp; ":" &amp; ADDRESS(Investment_Max_Row, COLUMN())))</f>
        <v>0</v>
      </c>
      <c r="K59" s="20" cm="1">
        <f t="array" aca="1" ref="K59" ca="1">SUM(INDIRECT(ADDRESS(Investment_Min_Row,COLUMN()) &amp; ":" &amp; ADDRESS(Investment_Max_Row, COLUMN())))</f>
        <v>0</v>
      </c>
      <c r="L59" s="20" cm="1">
        <f t="array" aca="1" ref="L59" ca="1">SUM(INDIRECT(ADDRESS(Investment_Min_Row,COLUMN()) &amp; ":" &amp; ADDRESS(Investment_Max_Row, COLUMN())))</f>
        <v>0</v>
      </c>
      <c r="M59" s="20" cm="1">
        <f t="array" aca="1" ref="M59" ca="1">SUM(INDIRECT(ADDRESS(Investment_Min_Row,COLUMN()) &amp; ":" &amp; ADDRESS(Investment_Max_Row, COLUMN())))</f>
        <v>0</v>
      </c>
      <c r="N59" s="20" cm="1">
        <f t="array" aca="1" ref="N59" ca="1">SUM(INDIRECT(ADDRESS(Investment_Min_Row,COLUMN()) &amp; ":" &amp; ADDRESS(Investment_Max_Row, COLUMN())))</f>
        <v>0</v>
      </c>
      <c r="O59" s="20" cm="1">
        <f t="array" aca="1" ref="O59" ca="1">SUM(INDIRECT(ADDRESS(Investment_Min_Row,COLUMN()) &amp; ":" &amp; ADDRESS(Investment_Max_Row, COLUMN())))</f>
        <v>0</v>
      </c>
      <c r="P59" s="20" cm="1">
        <f t="array" aca="1" ref="P59" ca="1">SUM(INDIRECT(ADDRESS(Investment_Min_Row,COLUMN()) &amp; ":" &amp; ADDRESS(Investment_Max_Row, COLUMN())))</f>
        <v>0</v>
      </c>
      <c r="Q59" s="20" cm="1">
        <f t="array" aca="1" ref="Q59" ca="1">SUM(INDIRECT(ADDRESS(Investment_Min_Row,COLUMN()) &amp; ":" &amp; ADDRESS(Investment_Max_Row, COLUMN())))</f>
        <v>0</v>
      </c>
      <c r="S59" s="20" cm="1">
        <f t="array" aca="1" ref="S59" ca="1">SUM(INDIRECT(ADDRESS(Investment_Min_Row,COLUMN()) &amp; ":" &amp; ADDRESS(Investment_Max_Row, COLUMN())))</f>
        <v>0</v>
      </c>
      <c r="T59" s="20" cm="1">
        <f t="array" aca="1" ref="T59" ca="1">SUM(INDIRECT(ADDRESS(Investment_Min_Row,COLUMN()) &amp; ":" &amp; ADDRESS(Investment_Max_Row, COLUMN())))</f>
        <v>0</v>
      </c>
      <c r="U59" s="20" cm="1">
        <f t="array" aca="1" ref="U59" ca="1">SUM(INDIRECT(ADDRESS(Investment_Min_Row,COLUMN()) &amp; ":" &amp; ADDRESS(Investment_Max_Row, COLUMN())))</f>
        <v>0</v>
      </c>
      <c r="V59" s="20" cm="1">
        <f t="array" aca="1" ref="V59" ca="1">SUM(INDIRECT(ADDRESS(Investment_Min_Row,COLUMN()) &amp; ":" &amp; ADDRESS(Investment_Max_Row, COLUMN())))</f>
        <v>0</v>
      </c>
      <c r="W59" s="20" cm="1">
        <f t="array" aca="1" ref="W59" ca="1">SUM(INDIRECT(ADDRESS(Investment_Min_Row,COLUMN()) &amp; ":" &amp; ADDRESS(Investment_Max_Row, COLUMN())))</f>
        <v>0</v>
      </c>
      <c r="X59" s="20" cm="1">
        <f t="array" aca="1" ref="X59" ca="1">SUM(INDIRECT(ADDRESS(Investment_Min_Row,COLUMN()) &amp; ":" &amp; ADDRESS(Investment_Max_Row, COLUMN())))</f>
        <v>0</v>
      </c>
      <c r="Y59" s="20" cm="1">
        <f t="array" aca="1" ref="Y59" ca="1">SUM(INDIRECT(ADDRESS(Investment_Min_Row,COLUMN()) &amp; ":" &amp; ADDRESS(Investment_Max_Row, COLUMN())))</f>
        <v>0</v>
      </c>
      <c r="Z59" s="20" cm="1">
        <f t="array" aca="1" ref="Z59" ca="1">SUM(INDIRECT(ADDRESS(Investment_Min_Row,COLUMN()) &amp; ":" &amp; ADDRESS(Investment_Max_Row, COLUMN())))</f>
        <v>0</v>
      </c>
      <c r="AA59" s="20" cm="1">
        <f t="array" aca="1" ref="AA59" ca="1">SUM(INDIRECT(ADDRESS(Investment_Min_Row,COLUMN()) &amp; ":" &amp; ADDRESS(Investment_Max_Row, COLUMN())))</f>
        <v>0</v>
      </c>
      <c r="AB59" s="20" cm="1">
        <f t="array" aca="1" ref="AB59" ca="1">SUM(INDIRECT(ADDRESS(Investment_Min_Row,COLUMN()) &amp; ":" &amp; ADDRESS(Investment_Max_Row, COLUMN())))</f>
        <v>0</v>
      </c>
      <c r="AC59" s="20" cm="1">
        <f t="array" aca="1" ref="AC59" ca="1">SUM(INDIRECT(ADDRESS(Investment_Min_Row,COLUMN()) &amp; ":" &amp; ADDRESS(Investment_Max_Row, COLUMN())))</f>
        <v>0</v>
      </c>
      <c r="AD59" s="20" cm="1">
        <f t="array" aca="1" ref="AD59" ca="1">SUM(INDIRECT(ADDRESS(Investment_Min_Row,COLUMN()) &amp; ":" &amp; ADDRESS(Investment_Max_Row, COLUMN())))</f>
        <v>0</v>
      </c>
      <c r="AE59" s="20" cm="1">
        <f t="array" aca="1" ref="AE59" ca="1">SUM(INDIRECT(ADDRESS(Investment_Min_Row,COLUMN()) &amp; ":" &amp; ADDRESS(Investment_Max_Row, COLUMN())))</f>
        <v>0</v>
      </c>
      <c r="AG59" s="20" cm="1">
        <f t="array" aca="1" ref="AG59" ca="1">SUM(INDIRECT(ADDRESS(Investment_Min_Row,COLUMN()) &amp; ":" &amp; ADDRESS(Investment_Max_Row, COLUMN())))</f>
        <v>0</v>
      </c>
      <c r="AH59" s="20" cm="1">
        <f t="array" aca="1" ref="AH59" ca="1">SUM(INDIRECT(ADDRESS(Investment_Min_Row,COLUMN()) &amp; ":" &amp; ADDRESS(Investment_Max_Row, COLUMN())))</f>
        <v>0</v>
      </c>
      <c r="AI59" s="20" cm="1">
        <f t="array" aca="1" ref="AI59" ca="1">SUM(INDIRECT(ADDRESS(Investment_Min_Row,COLUMN()) &amp; ":" &amp; ADDRESS(Investment_Max_Row, COLUMN())))</f>
        <v>0</v>
      </c>
      <c r="AJ59" s="20" cm="1">
        <f t="array" aca="1" ref="AJ59" ca="1">SUM(INDIRECT(ADDRESS(Investment_Min_Row,COLUMN()) &amp; ":" &amp; ADDRESS(Investment_Max_Row, COLUMN())))</f>
        <v>0</v>
      </c>
      <c r="AK59" s="20" cm="1">
        <f t="array" aca="1" ref="AK59" ca="1">SUM(INDIRECT(ADDRESS(Investment_Min_Row,COLUMN()) &amp; ":" &amp; ADDRESS(Investment_Max_Row, COLUMN())))</f>
        <v>0</v>
      </c>
      <c r="AL59" s="20" cm="1">
        <f t="array" aca="1" ref="AL59" ca="1">SUM(INDIRECT(ADDRESS(Investment_Min_Row,COLUMN()) &amp; ":" &amp; ADDRESS(Investment_Max_Row, COLUMN())))</f>
        <v>0</v>
      </c>
      <c r="AM59" s="20" cm="1">
        <f t="array" aca="1" ref="AM59" ca="1">SUM(INDIRECT(ADDRESS(Investment_Min_Row,COLUMN()) &amp; ":" &amp; ADDRESS(Investment_Max_Row, COLUMN())))</f>
        <v>0</v>
      </c>
      <c r="AN59" s="20" cm="1">
        <f t="array" aca="1" ref="AN59" ca="1">SUM(INDIRECT(ADDRESS(Investment_Min_Row,COLUMN()) &amp; ":" &amp; ADDRESS(Investment_Max_Row, COLUMN())))</f>
        <v>0</v>
      </c>
      <c r="AO59" s="20" cm="1">
        <f t="array" aca="1" ref="AO59" ca="1">SUM(INDIRECT(ADDRESS(Investment_Min_Row,COLUMN()) &amp; ":" &amp; ADDRESS(Investment_Max_Row, COLUMN())))</f>
        <v>0</v>
      </c>
      <c r="AP59" s="20" cm="1">
        <f t="array" aca="1" ref="AP59" ca="1">SUM(INDIRECT(ADDRESS(Investment_Min_Row,COLUMN()) &amp; ":" &amp; ADDRESS(Investment_Max_Row, COLUMN())))</f>
        <v>0</v>
      </c>
      <c r="AQ59" s="20" cm="1">
        <f t="array" aca="1" ref="AQ59" ca="1">SUM(INDIRECT(ADDRESS(Investment_Min_Row,COLUMN()) &amp; ":" &amp; ADDRESS(Investment_Max_Row, COLUMN())))</f>
        <v>0</v>
      </c>
      <c r="AR59" s="20" cm="1">
        <f t="array" aca="1" ref="AR59" ca="1">SUM(INDIRECT(ADDRESS(Investment_Min_Row,COLUMN()) &amp; ":" &amp; ADDRESS(Investment_Max_Row, COLUMN())))</f>
        <v>0</v>
      </c>
      <c r="AS59" s="20" cm="1">
        <f t="array" aca="1" ref="AS59" ca="1">SUM(INDIRECT(ADDRESS(Investment_Min_Row,COLUMN()) &amp; ":" &amp; ADDRESS(Investment_Max_Row, COLUMN())))</f>
        <v>0</v>
      </c>
      <c r="AU59" s="20" cm="1">
        <f t="array" aca="1" ref="AU59" ca="1">SUM(INDIRECT(ADDRESS(Investment_Min_Row,COLUMN()) &amp; ":" &amp; ADDRESS(Investment_Max_Row, COLUMN())))</f>
        <v>0</v>
      </c>
      <c r="AV59" s="20" cm="1">
        <f t="array" aca="1" ref="AV59" ca="1">SUM(INDIRECT(ADDRESS(Investment_Min_Row,COLUMN()) &amp; ":" &amp; ADDRESS(Investment_Max_Row, COLUMN())))</f>
        <v>0</v>
      </c>
      <c r="AW59" s="20" cm="1">
        <f t="array" aca="1" ref="AW59" ca="1">SUM(INDIRECT(ADDRESS(Investment_Min_Row,COLUMN()) &amp; ":" &amp; ADDRESS(Investment_Max_Row, COLUMN())))</f>
        <v>0</v>
      </c>
      <c r="AX59" s="20" cm="1">
        <f t="array" aca="1" ref="AX59" ca="1">SUM(INDIRECT(ADDRESS(Investment_Min_Row,COLUMN()) &amp; ":" &amp; ADDRESS(Investment_Max_Row, COLUMN())))</f>
        <v>0</v>
      </c>
      <c r="AY59" s="20" cm="1">
        <f t="array" aca="1" ref="AY59" ca="1">SUM(INDIRECT(ADDRESS(Investment_Min_Row,COLUMN()) &amp; ":" &amp; ADDRESS(Investment_Max_Row, COLUMN())))</f>
        <v>0</v>
      </c>
      <c r="AZ59" s="20" cm="1">
        <f t="array" aca="1" ref="AZ59" ca="1">SUM(INDIRECT(ADDRESS(Investment_Min_Row,COLUMN()) &amp; ":" &amp; ADDRESS(Investment_Max_Row, COLUMN())))</f>
        <v>0</v>
      </c>
      <c r="BA59" s="20" cm="1">
        <f t="array" aca="1" ref="BA59" ca="1">SUM(INDIRECT(ADDRESS(Investment_Min_Row,COLUMN()) &amp; ":" &amp; ADDRESS(Investment_Max_Row, COLUMN())))</f>
        <v>0</v>
      </c>
      <c r="BB59" s="20" cm="1">
        <f t="array" aca="1" ref="BB59" ca="1">SUM(INDIRECT(ADDRESS(Investment_Min_Row,COLUMN()) &amp; ":" &amp; ADDRESS(Investment_Max_Row, COLUMN())))</f>
        <v>0</v>
      </c>
      <c r="BC59" s="20" cm="1">
        <f t="array" aca="1" ref="BC59" ca="1">SUM(INDIRECT(ADDRESS(Investment_Min_Row,COLUMN()) &amp; ":" &amp; ADDRESS(Investment_Max_Row, COLUMN())))</f>
        <v>0</v>
      </c>
      <c r="BD59" s="20" cm="1">
        <f t="array" aca="1" ref="BD59" ca="1">SUM(INDIRECT(ADDRESS(Investment_Min_Row,COLUMN()) &amp; ":" &amp; ADDRESS(Investment_Max_Row, COLUMN())))</f>
        <v>0</v>
      </c>
      <c r="BE59" s="20" cm="1">
        <f t="array" aca="1" ref="BE59" ca="1">SUM(INDIRECT(ADDRESS(Investment_Min_Row,COLUMN()) &amp; ":" &amp; ADDRESS(Investment_Max_Row, COLUMN())))</f>
        <v>0</v>
      </c>
      <c r="BF59" s="20" cm="1">
        <f t="array" aca="1" ref="BF59" ca="1">SUM(INDIRECT(ADDRESS(Investment_Min_Row,COLUMN()) &amp; ":" &amp; ADDRESS(Investment_Max_Row, COLUMN())))</f>
        <v>0</v>
      </c>
      <c r="BG59" s="20" cm="1">
        <f t="array" aca="1" ref="BG59" ca="1">SUM(INDIRECT(ADDRESS(Investment_Min_Row,COLUMN()) &amp; ":" &amp; ADDRESS(Investment_Max_Row, COLUMN())))</f>
        <v>0</v>
      </c>
      <c r="BI59" s="20" cm="1">
        <f t="array" aca="1" ref="BI59" ca="1">SUM(INDIRECT(ADDRESS(Investment_Min_Row,COLUMN()) &amp; ":" &amp; ADDRESS(Investment_Max_Row, COLUMN())))</f>
        <v>0</v>
      </c>
      <c r="BJ59" s="20" cm="1">
        <f t="array" aca="1" ref="BJ59" ca="1">SUM(INDIRECT(ADDRESS(Investment_Min_Row,COLUMN()) &amp; ":" &amp; ADDRESS(Investment_Max_Row, COLUMN())))</f>
        <v>0</v>
      </c>
      <c r="BK59" s="20" cm="1">
        <f t="array" aca="1" ref="BK59" ca="1">SUM(INDIRECT(ADDRESS(Investment_Min_Row,COLUMN()) &amp; ":" &amp; ADDRESS(Investment_Max_Row, COLUMN())))</f>
        <v>0</v>
      </c>
      <c r="BL59" s="20" cm="1">
        <f t="array" aca="1" ref="BL59" ca="1">SUM(INDIRECT(ADDRESS(Investment_Min_Row,COLUMN()) &amp; ":" &amp; ADDRESS(Investment_Max_Row, COLUMN())))</f>
        <v>0</v>
      </c>
      <c r="BM59" s="20" cm="1">
        <f t="array" aca="1" ref="BM59" ca="1">SUM(INDIRECT(ADDRESS(Investment_Min_Row,COLUMN()) &amp; ":" &amp; ADDRESS(Investment_Max_Row, COLUMN())))</f>
        <v>0</v>
      </c>
      <c r="BN59" s="20" cm="1">
        <f t="array" aca="1" ref="BN59" ca="1">SUM(INDIRECT(ADDRESS(Investment_Min_Row,COLUMN()) &amp; ":" &amp; ADDRESS(Investment_Max_Row, COLUMN())))</f>
        <v>0</v>
      </c>
      <c r="BO59" s="20" cm="1">
        <f t="array" aca="1" ref="BO59" ca="1">SUM(INDIRECT(ADDRESS(Investment_Min_Row,COLUMN()) &amp; ":" &amp; ADDRESS(Investment_Max_Row, COLUMN())))</f>
        <v>0</v>
      </c>
      <c r="BP59" s="20" cm="1">
        <f t="array" aca="1" ref="BP59" ca="1">SUM(INDIRECT(ADDRESS(Investment_Min_Row,COLUMN()) &amp; ":" &amp; ADDRESS(Investment_Max_Row, COLUMN())))</f>
        <v>0</v>
      </c>
      <c r="BQ59" s="20" cm="1">
        <f t="array" aca="1" ref="BQ59" ca="1">SUM(INDIRECT(ADDRESS(Investment_Min_Row,COLUMN()) &amp; ":" &amp; ADDRESS(Investment_Max_Row, COLUMN())))</f>
        <v>0</v>
      </c>
      <c r="BR59" s="20" cm="1">
        <f t="array" aca="1" ref="BR59" ca="1">SUM(INDIRECT(ADDRESS(Investment_Min_Row,COLUMN()) &amp; ":" &amp; ADDRESS(Investment_Max_Row, COLUMN())))</f>
        <v>0</v>
      </c>
      <c r="BS59" s="20" cm="1">
        <f t="array" aca="1" ref="BS59" ca="1">SUM(INDIRECT(ADDRESS(Investment_Min_Row,COLUMN()) &amp; ":" &amp; ADDRESS(Investment_Max_Row, COLUMN())))</f>
        <v>0</v>
      </c>
      <c r="BT59" s="20" cm="1">
        <f t="array" aca="1" ref="BT59" ca="1">SUM(INDIRECT(ADDRESS(Investment_Min_Row,COLUMN()) &amp; ":" &amp; ADDRESS(Investment_Max_Row, COLUMN())))</f>
        <v>0</v>
      </c>
      <c r="BU59" s="20" cm="1">
        <f t="array" aca="1" ref="BU59" ca="1">SUM(INDIRECT(ADDRESS(Investment_Min_Row,COLUMN()) &amp; ":" &amp; ADDRESS(Investment_Max_Row, COLUMN())))</f>
        <v>0</v>
      </c>
      <c r="BW59" s="20" cm="1">
        <f t="array" aca="1" ref="BW59" ca="1">SUM(INDIRECT(ADDRESS(Investment_Min_Row,COLUMN()) &amp; ":" &amp; ADDRESS(Investment_Max_Row, COLUMN())))</f>
        <v>0</v>
      </c>
      <c r="BX59" s="20" cm="1">
        <f t="array" aca="1" ref="BX59" ca="1">SUM(INDIRECT(ADDRESS(Investment_Min_Row,COLUMN()) &amp; ":" &amp; ADDRESS(Investment_Max_Row, COLUMN())))</f>
        <v>0</v>
      </c>
      <c r="BY59" s="20" cm="1">
        <f t="array" aca="1" ref="BY59" ca="1">SUM(INDIRECT(ADDRESS(Investment_Min_Row,COLUMN()) &amp; ":" &amp; ADDRESS(Investment_Max_Row, COLUMN())))</f>
        <v>0</v>
      </c>
      <c r="BZ59" s="20" cm="1">
        <f t="array" aca="1" ref="BZ59" ca="1">SUM(INDIRECT(ADDRESS(Investment_Min_Row,COLUMN()) &amp; ":" &amp; ADDRESS(Investment_Max_Row, COLUMN())))</f>
        <v>0</v>
      </c>
      <c r="CA59" s="20" cm="1">
        <f t="array" aca="1" ref="CA59" ca="1">SUM(INDIRECT(ADDRESS(Investment_Min_Row,COLUMN()) &amp; ":" &amp; ADDRESS(Investment_Max_Row, COLUMN())))</f>
        <v>0</v>
      </c>
      <c r="CB59" s="20" cm="1">
        <f t="array" aca="1" ref="CB59" ca="1">SUM(INDIRECT(ADDRESS(Investment_Min_Row,COLUMN()) &amp; ":" &amp; ADDRESS(Investment_Max_Row, COLUMN())))</f>
        <v>0</v>
      </c>
      <c r="CC59" s="20" cm="1">
        <f t="array" aca="1" ref="CC59" ca="1">SUM(INDIRECT(ADDRESS(Investment_Min_Row,COLUMN()) &amp; ":" &amp; ADDRESS(Investment_Max_Row, COLUMN())))</f>
        <v>0</v>
      </c>
      <c r="CD59" s="20" cm="1">
        <f t="array" aca="1" ref="CD59" ca="1">SUM(INDIRECT(ADDRESS(Investment_Min_Row,COLUMN()) &amp; ":" &amp; ADDRESS(Investment_Max_Row, COLUMN())))</f>
        <v>0</v>
      </c>
      <c r="CE59" s="20" cm="1">
        <f t="array" aca="1" ref="CE59" ca="1">SUM(INDIRECT(ADDRESS(Investment_Min_Row,COLUMN()) &amp; ":" &amp; ADDRESS(Investment_Max_Row, COLUMN())))</f>
        <v>0</v>
      </c>
      <c r="CF59" s="20" cm="1">
        <f t="array" aca="1" ref="CF59" ca="1">SUM(INDIRECT(ADDRESS(Investment_Min_Row,COLUMN()) &amp; ":" &amp; ADDRESS(Investment_Max_Row, COLUMN())))</f>
        <v>0</v>
      </c>
      <c r="CG59" s="20" cm="1">
        <f t="array" aca="1" ref="CG59" ca="1">SUM(INDIRECT(ADDRESS(Investment_Min_Row,COLUMN()) &amp; ":" &amp; ADDRESS(Investment_Max_Row, COLUMN())))</f>
        <v>0</v>
      </c>
      <c r="CH59" s="20" cm="1">
        <f t="array" aca="1" ref="CH59" ca="1">SUM(INDIRECT(ADDRESS(Investment_Min_Row,COLUMN()) &amp; ":" &amp; ADDRESS(Investment_Max_Row, COLUMN())))</f>
        <v>0</v>
      </c>
      <c r="CI59" s="20" cm="1">
        <f t="array" aca="1" ref="CI59" ca="1">SUM(INDIRECT(ADDRESS(Investment_Min_Row,COLUMN()) &amp; ":" &amp; ADDRESS(Investment_Max_Row, COLUMN())))</f>
        <v>0</v>
      </c>
      <c r="CK59" s="20" cm="1">
        <f t="array" aca="1" ref="CK59" ca="1">SUM(INDIRECT(ADDRESS(Investment_Min_Row,COLUMN()) &amp; ":" &amp; ADDRESS(Investment_Max_Row, COLUMN())))</f>
        <v>0</v>
      </c>
      <c r="CL59" s="20" cm="1">
        <f t="array" aca="1" ref="CL59" ca="1">SUM(INDIRECT(ADDRESS(Investment_Min_Row,COLUMN()) &amp; ":" &amp; ADDRESS(Investment_Max_Row, COLUMN())))</f>
        <v>0</v>
      </c>
      <c r="CM59" s="20" cm="1">
        <f t="array" aca="1" ref="CM59" ca="1">SUM(INDIRECT(ADDRESS(Investment_Min_Row,COLUMN()) &amp; ":" &amp; ADDRESS(Investment_Max_Row, COLUMN())))</f>
        <v>0</v>
      </c>
      <c r="CN59" s="20" cm="1">
        <f t="array" aca="1" ref="CN59" ca="1">SUM(INDIRECT(ADDRESS(Investment_Min_Row,COLUMN()) &amp; ":" &amp; ADDRESS(Investment_Max_Row, COLUMN())))</f>
        <v>0</v>
      </c>
      <c r="CO59" s="20" cm="1">
        <f t="array" aca="1" ref="CO59" ca="1">SUM(INDIRECT(ADDRESS(Investment_Min_Row,COLUMN()) &amp; ":" &amp; ADDRESS(Investment_Max_Row, COLUMN())))</f>
        <v>0</v>
      </c>
      <c r="CP59" s="20" cm="1">
        <f t="array" aca="1" ref="CP59" ca="1">SUM(INDIRECT(ADDRESS(Investment_Min_Row,COLUMN()) &amp; ":" &amp; ADDRESS(Investment_Max_Row, COLUMN())))</f>
        <v>0</v>
      </c>
      <c r="CQ59" s="20" cm="1">
        <f t="array" aca="1" ref="CQ59" ca="1">SUM(INDIRECT(ADDRESS(Investment_Min_Row,COLUMN()) &amp; ":" &amp; ADDRESS(Investment_Max_Row, COLUMN())))</f>
        <v>0</v>
      </c>
      <c r="CR59" s="20" cm="1">
        <f t="array" aca="1" ref="CR59" ca="1">SUM(INDIRECT(ADDRESS(Investment_Min_Row,COLUMN()) &amp; ":" &amp; ADDRESS(Investment_Max_Row, COLUMN())))</f>
        <v>0</v>
      </c>
      <c r="CS59" s="20" cm="1">
        <f t="array" aca="1" ref="CS59" ca="1">SUM(INDIRECT(ADDRESS(Investment_Min_Row,COLUMN()) &amp; ":" &amp; ADDRESS(Investment_Max_Row, COLUMN())))</f>
        <v>0</v>
      </c>
      <c r="CT59" s="20" cm="1">
        <f t="array" aca="1" ref="CT59" ca="1">SUM(INDIRECT(ADDRESS(Investment_Min_Row,COLUMN()) &amp; ":" &amp; ADDRESS(Investment_Max_Row, COLUMN())))</f>
        <v>0</v>
      </c>
      <c r="CU59" s="20" cm="1">
        <f t="array" aca="1" ref="CU59" ca="1">SUM(INDIRECT(ADDRESS(Investment_Min_Row,COLUMN()) &amp; ":" &amp; ADDRESS(Investment_Max_Row, COLUMN())))</f>
        <v>0</v>
      </c>
      <c r="CV59" s="20" cm="1">
        <f t="array" aca="1" ref="CV59" ca="1">SUM(INDIRECT(ADDRESS(Investment_Min_Row,COLUMN()) &amp; ":" &amp; ADDRESS(Investment_Max_Row, COLUMN())))</f>
        <v>0</v>
      </c>
      <c r="CW59" s="20" cm="1">
        <f t="array" aca="1" ref="CW59" ca="1">SUM(INDIRECT(ADDRESS(Investment_Min_Row,COLUMN()) &amp; ":" &amp; ADDRESS(Investment_Max_Row, COLUMN())))</f>
        <v>0</v>
      </c>
      <c r="CY59" s="20" cm="1">
        <f t="array" aca="1" ref="CY59" ca="1">SUM(INDIRECT(ADDRESS(Investment_Min_Row,COLUMN()) &amp; ":" &amp; ADDRESS(Investment_Max_Row, COLUMN())))</f>
        <v>0</v>
      </c>
      <c r="CZ59" s="20" cm="1">
        <f t="array" aca="1" ref="CZ59" ca="1">SUM(INDIRECT(ADDRESS(Investment_Min_Row,COLUMN()) &amp; ":" &amp; ADDRESS(Investment_Max_Row, COLUMN())))</f>
        <v>0</v>
      </c>
      <c r="DA59" s="20" cm="1">
        <f t="array" aca="1" ref="DA59" ca="1">SUM(INDIRECT(ADDRESS(Investment_Min_Row,COLUMN()) &amp; ":" &amp; ADDRESS(Investment_Max_Row, COLUMN())))</f>
        <v>0</v>
      </c>
      <c r="DB59" s="20" cm="1">
        <f t="array" aca="1" ref="DB59" ca="1">SUM(INDIRECT(ADDRESS(Investment_Min_Row,COLUMN()) &amp; ":" &amp; ADDRESS(Investment_Max_Row, COLUMN())))</f>
        <v>0</v>
      </c>
      <c r="DC59" s="20" cm="1">
        <f t="array" aca="1" ref="DC59" ca="1">SUM(INDIRECT(ADDRESS(Investment_Min_Row,COLUMN()) &amp; ":" &amp; ADDRESS(Investment_Max_Row, COLUMN())))</f>
        <v>0</v>
      </c>
      <c r="DD59" s="20" cm="1">
        <f t="array" aca="1" ref="DD59" ca="1">SUM(INDIRECT(ADDRESS(Investment_Min_Row,COLUMN()) &amp; ":" &amp; ADDRESS(Investment_Max_Row, COLUMN())))</f>
        <v>0</v>
      </c>
      <c r="DE59" s="20" cm="1">
        <f t="array" aca="1" ref="DE59" ca="1">SUM(INDIRECT(ADDRESS(Investment_Min_Row,COLUMN()) &amp; ":" &amp; ADDRESS(Investment_Max_Row, COLUMN())))</f>
        <v>0</v>
      </c>
      <c r="DF59" s="20" cm="1">
        <f t="array" aca="1" ref="DF59" ca="1">SUM(INDIRECT(ADDRESS(Investment_Min_Row,COLUMN()) &amp; ":" &amp; ADDRESS(Investment_Max_Row, COLUMN())))</f>
        <v>0</v>
      </c>
      <c r="DG59" s="20" cm="1">
        <f t="array" aca="1" ref="DG59" ca="1">SUM(INDIRECT(ADDRESS(Investment_Min_Row,COLUMN()) &amp; ":" &amp; ADDRESS(Investment_Max_Row, COLUMN())))</f>
        <v>0</v>
      </c>
      <c r="DH59" s="20" cm="1">
        <f t="array" aca="1" ref="DH59" ca="1">SUM(INDIRECT(ADDRESS(Investment_Min_Row,COLUMN()) &amp; ":" &amp; ADDRESS(Investment_Max_Row, COLUMN())))</f>
        <v>0</v>
      </c>
      <c r="DI59" s="20" cm="1">
        <f t="array" aca="1" ref="DI59" ca="1">SUM(INDIRECT(ADDRESS(Investment_Min_Row,COLUMN()) &amp; ":" &amp; ADDRESS(Investment_Max_Row, COLUMN())))</f>
        <v>0</v>
      </c>
      <c r="DJ59" s="20" cm="1">
        <f t="array" aca="1" ref="DJ59" ca="1">SUM(INDIRECT(ADDRESS(Investment_Min_Row,COLUMN()) &amp; ":" &amp; ADDRESS(Investment_Max_Row, COLUMN())))</f>
        <v>0</v>
      </c>
      <c r="DK59" s="20" cm="1">
        <f t="array" aca="1" ref="DK59" ca="1">SUM(INDIRECT(ADDRESS(Investment_Min_Row,COLUMN()) &amp; ":" &amp; ADDRESS(Investment_Max_Row, COLUMN())))</f>
        <v>0</v>
      </c>
      <c r="DM59" s="20" cm="1">
        <f t="array" aca="1" ref="DM59" ca="1">SUM(INDIRECT(ADDRESS(Investment_Min_Row,COLUMN()) &amp; ":" &amp; ADDRESS(Investment_Max_Row, COLUMN())))</f>
        <v>0</v>
      </c>
      <c r="DN59" s="20" cm="1">
        <f t="array" aca="1" ref="DN59" ca="1">SUM(INDIRECT(ADDRESS(Investment_Min_Row,COLUMN()) &amp; ":" &amp; ADDRESS(Investment_Max_Row, COLUMN())))</f>
        <v>0</v>
      </c>
      <c r="DO59" s="20" cm="1">
        <f t="array" aca="1" ref="DO59" ca="1">SUM(INDIRECT(ADDRESS(Investment_Min_Row,COLUMN()) &amp; ":" &amp; ADDRESS(Investment_Max_Row, COLUMN())))</f>
        <v>0</v>
      </c>
      <c r="DP59" s="20" cm="1">
        <f t="array" aca="1" ref="DP59" ca="1">SUM(INDIRECT(ADDRESS(Investment_Min_Row,COLUMN()) &amp; ":" &amp; ADDRESS(Investment_Max_Row, COLUMN())))</f>
        <v>0</v>
      </c>
      <c r="DQ59" s="20" cm="1">
        <f t="array" aca="1" ref="DQ59" ca="1">SUM(INDIRECT(ADDRESS(Investment_Min_Row,COLUMN()) &amp; ":" &amp; ADDRESS(Investment_Max_Row, COLUMN())))</f>
        <v>0</v>
      </c>
      <c r="DR59" s="20" cm="1">
        <f t="array" aca="1" ref="DR59" ca="1">SUM(INDIRECT(ADDRESS(Investment_Min_Row,COLUMN()) &amp; ":" &amp; ADDRESS(Investment_Max_Row, COLUMN())))</f>
        <v>0</v>
      </c>
      <c r="DS59" s="20" cm="1">
        <f t="array" aca="1" ref="DS59" ca="1">SUM(INDIRECT(ADDRESS(Investment_Min_Row,COLUMN()) &amp; ":" &amp; ADDRESS(Investment_Max_Row, COLUMN())))</f>
        <v>0</v>
      </c>
      <c r="DT59" s="20" cm="1">
        <f t="array" aca="1" ref="DT59" ca="1">SUM(INDIRECT(ADDRESS(Investment_Min_Row,COLUMN()) &amp; ":" &amp; ADDRESS(Investment_Max_Row, COLUMN())))</f>
        <v>0</v>
      </c>
      <c r="DU59" s="20" cm="1">
        <f t="array" aca="1" ref="DU59" ca="1">SUM(INDIRECT(ADDRESS(Investment_Min_Row,COLUMN()) &amp; ":" &amp; ADDRESS(Investment_Max_Row, COLUMN())))</f>
        <v>0</v>
      </c>
      <c r="DV59" s="20" cm="1">
        <f t="array" aca="1" ref="DV59" ca="1">SUM(INDIRECT(ADDRESS(Investment_Min_Row,COLUMN()) &amp; ":" &amp; ADDRESS(Investment_Max_Row, COLUMN())))</f>
        <v>0</v>
      </c>
      <c r="DW59" s="20" cm="1">
        <f t="array" aca="1" ref="DW59" ca="1">SUM(INDIRECT(ADDRESS(Investment_Min_Row,COLUMN()) &amp; ":" &amp; ADDRESS(Investment_Max_Row, COLUMN())))</f>
        <v>0</v>
      </c>
      <c r="DX59" s="20" cm="1">
        <f t="array" aca="1" ref="DX59" ca="1">SUM(INDIRECT(ADDRESS(Investment_Min_Row,COLUMN()) &amp; ":" &amp; ADDRESS(Investment_Max_Row, COLUMN())))</f>
        <v>0</v>
      </c>
      <c r="DY59" s="20" cm="1">
        <f t="array" aca="1" ref="DY59" ca="1">SUM(INDIRECT(ADDRESS(Investment_Min_Row,COLUMN()) &amp; ":" &amp; ADDRESS(Investment_Max_Row, COLUMN())))</f>
        <v>0</v>
      </c>
      <c r="EA59" s="20" cm="1">
        <f t="array" aca="1" ref="EA59" ca="1">SUM(INDIRECT(ADDRESS(Investment_Min_Row,COLUMN()) &amp; ":" &amp; ADDRESS(Investment_Max_Row, COLUMN())))</f>
        <v>0</v>
      </c>
      <c r="EB59" s="20" cm="1">
        <f t="array" aca="1" ref="EB59" ca="1">SUM(INDIRECT(ADDRESS(Investment_Min_Row,COLUMN()) &amp; ":" &amp; ADDRESS(Investment_Max_Row, COLUMN())))</f>
        <v>0</v>
      </c>
      <c r="EC59" s="20" cm="1">
        <f t="array" aca="1" ref="EC59" ca="1">SUM(INDIRECT(ADDRESS(Investment_Min_Row,COLUMN()) &amp; ":" &amp; ADDRESS(Investment_Max_Row, COLUMN())))</f>
        <v>0</v>
      </c>
      <c r="ED59" s="20" cm="1">
        <f t="array" aca="1" ref="ED59" ca="1">SUM(INDIRECT(ADDRESS(Investment_Min_Row,COLUMN()) &amp; ":" &amp; ADDRESS(Investment_Max_Row, COLUMN())))</f>
        <v>0</v>
      </c>
      <c r="EE59" s="20" cm="1">
        <f t="array" aca="1" ref="EE59" ca="1">SUM(INDIRECT(ADDRESS(Investment_Min_Row,COLUMN()) &amp; ":" &amp; ADDRESS(Investment_Max_Row, COLUMN())))</f>
        <v>0</v>
      </c>
      <c r="EF59" s="20" cm="1">
        <f t="array" aca="1" ref="EF59" ca="1">SUM(INDIRECT(ADDRESS(Investment_Min_Row,COLUMN()) &amp; ":" &amp; ADDRESS(Investment_Max_Row, COLUMN())))</f>
        <v>0</v>
      </c>
      <c r="EG59" s="20" cm="1">
        <f t="array" aca="1" ref="EG59" ca="1">SUM(INDIRECT(ADDRESS(Investment_Min_Row,COLUMN()) &amp; ":" &amp; ADDRESS(Investment_Max_Row, COLUMN())))</f>
        <v>0</v>
      </c>
      <c r="EH59" s="20" cm="1">
        <f t="array" aca="1" ref="EH59" ca="1">SUM(INDIRECT(ADDRESS(Investment_Min_Row,COLUMN()) &amp; ":" &amp; ADDRESS(Investment_Max_Row, COLUMN())))</f>
        <v>0</v>
      </c>
      <c r="EI59" s="20" cm="1">
        <f t="array" aca="1" ref="EI59" ca="1">SUM(INDIRECT(ADDRESS(Investment_Min_Row,COLUMN()) &amp; ":" &amp; ADDRESS(Investment_Max_Row, COLUMN())))</f>
        <v>0</v>
      </c>
      <c r="EJ59" s="20" cm="1">
        <f t="array" aca="1" ref="EJ59" ca="1">SUM(INDIRECT(ADDRESS(Investment_Min_Row,COLUMN()) &amp; ":" &amp; ADDRESS(Investment_Max_Row, COLUMN())))</f>
        <v>0</v>
      </c>
      <c r="EK59" s="20" cm="1">
        <f t="array" aca="1" ref="EK59" ca="1">SUM(INDIRECT(ADDRESS(Investment_Min_Row,COLUMN()) &amp; ":" &amp; ADDRESS(Investment_Max_Row, COLUMN())))</f>
        <v>0</v>
      </c>
      <c r="EL59" s="20" cm="1">
        <f t="array" aca="1" ref="EL59" ca="1">SUM(INDIRECT(ADDRESS(Investment_Min_Row,COLUMN()) &amp; ":" &amp; ADDRESS(Investment_Max_Row, COLUMN())))</f>
        <v>0</v>
      </c>
      <c r="EM59" s="20" cm="1">
        <f t="array" aca="1" ref="EM59" ca="1">SUM(INDIRECT(ADDRESS(Investment_Min_Row,COLUMN()) &amp; ":" &amp; ADDRESS(Investment_Max_Row, COLUMN())))</f>
        <v>0</v>
      </c>
      <c r="EO59" s="20" cm="1">
        <f t="array" aca="1" ref="EO59" ca="1">SUM(INDIRECT(ADDRESS(Investment_Min_Row,COLUMN()) &amp; ":" &amp; ADDRESS(Investment_Max_Row, COLUMN())))</f>
        <v>0</v>
      </c>
      <c r="EP59" s="20" cm="1">
        <f t="array" aca="1" ref="EP59" ca="1">SUM(INDIRECT(ADDRESS(Investment_Min_Row,COLUMN()) &amp; ":" &amp; ADDRESS(Investment_Max_Row, COLUMN())))</f>
        <v>0</v>
      </c>
      <c r="EQ59" s="20" cm="1">
        <f t="array" aca="1" ref="EQ59" ca="1">SUM(INDIRECT(ADDRESS(Investment_Min_Row,COLUMN()) &amp; ":" &amp; ADDRESS(Investment_Max_Row, COLUMN())))</f>
        <v>0</v>
      </c>
      <c r="ER59" s="20" cm="1">
        <f t="array" aca="1" ref="ER59" ca="1">SUM(INDIRECT(ADDRESS(Investment_Min_Row,COLUMN()) &amp; ":" &amp; ADDRESS(Investment_Max_Row, COLUMN())))</f>
        <v>0</v>
      </c>
      <c r="ES59" s="20" cm="1">
        <f t="array" aca="1" ref="ES59" ca="1">SUM(INDIRECT(ADDRESS(Investment_Min_Row,COLUMN()) &amp; ":" &amp; ADDRESS(Investment_Max_Row, COLUMN())))</f>
        <v>0</v>
      </c>
      <c r="ET59" s="20" cm="1">
        <f t="array" aca="1" ref="ET59" ca="1">SUM(INDIRECT(ADDRESS(Investment_Min_Row,COLUMN()) &amp; ":" &amp; ADDRESS(Investment_Max_Row, COLUMN())))</f>
        <v>0</v>
      </c>
      <c r="EU59" s="20" cm="1">
        <f t="array" aca="1" ref="EU59" ca="1">SUM(INDIRECT(ADDRESS(Investment_Min_Row,COLUMN()) &amp; ":" &amp; ADDRESS(Investment_Max_Row, COLUMN())))</f>
        <v>0</v>
      </c>
      <c r="EV59" s="20" cm="1">
        <f t="array" aca="1" ref="EV59" ca="1">SUM(INDIRECT(ADDRESS(Investment_Min_Row,COLUMN()) &amp; ":" &amp; ADDRESS(Investment_Max_Row, COLUMN())))</f>
        <v>0</v>
      </c>
      <c r="EW59" s="20" cm="1">
        <f t="array" aca="1" ref="EW59" ca="1">SUM(INDIRECT(ADDRESS(Investment_Min_Row,COLUMN()) &amp; ":" &amp; ADDRESS(Investment_Max_Row, COLUMN())))</f>
        <v>0</v>
      </c>
      <c r="EX59" s="20" cm="1">
        <f t="array" aca="1" ref="EX59" ca="1">SUM(INDIRECT(ADDRESS(Investment_Min_Row,COLUMN()) &amp; ":" &amp; ADDRESS(Investment_Max_Row, COLUMN())))</f>
        <v>0</v>
      </c>
      <c r="EY59" s="20" cm="1">
        <f t="array" aca="1" ref="EY59" ca="1">SUM(INDIRECT(ADDRESS(Investment_Min_Row,COLUMN()) &amp; ":" &amp; ADDRESS(Investment_Max_Row, COLUMN())))</f>
        <v>0</v>
      </c>
      <c r="EZ59" s="20" cm="1">
        <f t="array" aca="1" ref="EZ59" ca="1">SUM(INDIRECT(ADDRESS(Investment_Min_Row,COLUMN()) &amp; ":" &amp; ADDRESS(Investment_Max_Row, COLUMN())))</f>
        <v>0</v>
      </c>
      <c r="FA59" s="20" cm="1">
        <f t="array" aca="1" ref="FA59" ca="1">SUM(INDIRECT(ADDRESS(Investment_Min_Row,COLUMN()) &amp; ":" &amp; ADDRESS(Investment_Max_Row, COLUMN())))</f>
        <v>0</v>
      </c>
    </row>
  </sheetData>
  <mergeCells count="12">
    <mergeCell ref="EO5:FA5"/>
    <mergeCell ref="EA5:EM5"/>
    <mergeCell ref="BI5:BU5"/>
    <mergeCell ref="BW5:CI5"/>
    <mergeCell ref="CK5:CW5"/>
    <mergeCell ref="CY5:DK5"/>
    <mergeCell ref="DM5:DY5"/>
    <mergeCell ref="A1:C3"/>
    <mergeCell ref="E5:Q5"/>
    <mergeCell ref="S5:AE5"/>
    <mergeCell ref="AG5:AS5"/>
    <mergeCell ref="AU5:BG5"/>
  </mergeCells>
  <phoneticPr fontId="8" type="noConversion"/>
  <conditionalFormatting sqref="S10:AE19 AG10:AS19 AU10:BG19 BI10:BU19 BW10:CI19 CK10:CW19 CY10:DK19 DM10:DY19 EA10:EM19 C10:C19 E10:Q19">
    <cfRule type="expression" dxfId="45" priority="14">
      <formula>ROW(A10)&lt;=Einkommen_Max_Row</formula>
    </cfRule>
  </conditionalFormatting>
  <conditionalFormatting sqref="C23:C26 S23:AE32 AG23:AS32 AU23:BG32 BI23:BU32 BW23:CI32 CK23:CW32 CY23:DK32 DM23:DY32 EA23:EM32 E23:Q32">
    <cfRule type="expression" dxfId="44" priority="13">
      <formula>ROW(A23)&lt;=Fixkosten_Max_Row</formula>
    </cfRule>
  </conditionalFormatting>
  <conditionalFormatting sqref="C36:C40 S36:AE45 AG36:AS45 AU36:BG45 BI36:BU45 BW36:CI45 CK36:CW45 CY36:DK45 DM36:DY45 EA36:EM45 E36:Q45 EO36:FA45">
    <cfRule type="expression" dxfId="43" priority="12">
      <formula>ROW(A36)&lt;=Variablekosten_Max_Row</formula>
    </cfRule>
  </conditionalFormatting>
  <conditionalFormatting sqref="C49:C51 S49:AE58 AG49:AS58 AU49:BG58 BI49:BU58 BW49:CI58 CK49:CW58 CY49:DK58 DM49:DY58 EA49:EM58 E49:Q58">
    <cfRule type="expression" dxfId="42" priority="11">
      <formula>ROW(A49)&lt;=Investment_Max_Row</formula>
    </cfRule>
  </conditionalFormatting>
  <conditionalFormatting sqref="EO10:FA19">
    <cfRule type="expression" dxfId="41" priority="7">
      <formula>ROW(EM10)&lt;=Einkommen_Max_Row</formula>
    </cfRule>
  </conditionalFormatting>
  <conditionalFormatting sqref="EO23:FA32">
    <cfRule type="expression" dxfId="40" priority="6">
      <formula>ROW(EM23)&lt;=Fixkosten_Max_Row</formula>
    </cfRule>
  </conditionalFormatting>
  <conditionalFormatting sqref="EO49:FA58">
    <cfRule type="expression" dxfId="39" priority="4">
      <formula>ROW(EM49)&lt;=Investment_Max_Row</formula>
    </cfRule>
  </conditionalFormatting>
  <conditionalFormatting sqref="E6:Q7 S6:AE7 AG6:AS7 AU6:BG7 BI6:BU7 BW6:CI7 CK6:CW7 CY6:DK7 DM6:DY7 EA6:EM7 EO6:FA7">
    <cfRule type="expression" dxfId="38" priority="53" stopIfTrue="1">
      <formula>AND(E$20=0,E$33=0,E$46=0,E$59=0)</formula>
    </cfRule>
    <cfRule type="expression" dxfId="37" priority="54" stopIfTrue="1">
      <formula>E$7=0</formula>
    </cfRule>
    <cfRule type="expression" dxfId="36" priority="55">
      <formula>E$7&lt;0</formula>
    </cfRule>
  </conditionalFormatting>
  <pageMargins left="0.7" right="0.7" top="0.78740157499999996" bottom="0.78740157499999996" header="0.3" footer="0.3"/>
  <pageSetup paperSize="9" orientation="portrait" horizontalDpi="300" verticalDpi="300"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92CB8-32A8-4121-89D1-F9FCAB4A7C97}">
  <sheetPr codeName="Tabelle7">
    <tabColor theme="9" tint="0.79998168889431442"/>
  </sheetPr>
  <dimension ref="A1:K12"/>
  <sheetViews>
    <sheetView topLeftCell="G1" zoomScaleNormal="100" workbookViewId="0">
      <selection activeCell="K29" sqref="K29"/>
    </sheetView>
  </sheetViews>
  <sheetFormatPr baseColWidth="10" defaultColWidth="10.6640625" defaultRowHeight="14.4" x14ac:dyDescent="0.3"/>
  <cols>
    <col min="1" max="1" width="4.44140625" customWidth="1"/>
    <col min="2" max="2" width="1.44140625" customWidth="1"/>
    <col min="3" max="4" width="22.33203125" customWidth="1"/>
    <col min="5" max="5" width="28.33203125" customWidth="1"/>
    <col min="6" max="6" width="18.88671875" customWidth="1"/>
    <col min="7" max="7" width="22.33203125" customWidth="1"/>
    <col min="8" max="8" width="42.44140625" customWidth="1"/>
    <col min="9" max="9" width="29.109375" style="132" customWidth="1"/>
    <col min="10" max="10" width="18.5546875" customWidth="1"/>
    <col min="11" max="11" width="23.5546875" customWidth="1"/>
  </cols>
  <sheetData>
    <row r="1" spans="1:11" s="39" customFormat="1" ht="15" customHeight="1" x14ac:dyDescent="0.7">
      <c r="A1" s="147" t="s">
        <v>1</v>
      </c>
      <c r="B1" s="147"/>
      <c r="C1" s="147"/>
      <c r="I1" s="139"/>
    </row>
    <row r="2" spans="1:11" s="39" customFormat="1" ht="15" customHeight="1" x14ac:dyDescent="0.7">
      <c r="A2" s="147"/>
      <c r="B2" s="147"/>
      <c r="C2" s="147"/>
      <c r="I2" s="139"/>
    </row>
    <row r="3" spans="1:11" s="39" customFormat="1" ht="15" customHeight="1" x14ac:dyDescent="0.7">
      <c r="A3" s="147"/>
      <c r="B3" s="147"/>
      <c r="C3" s="147"/>
      <c r="I3" s="139"/>
    </row>
    <row r="11" spans="1:11" x14ac:dyDescent="0.3">
      <c r="C11" s="40" t="s">
        <v>46</v>
      </c>
      <c r="D11" s="40" t="s">
        <v>47</v>
      </c>
      <c r="E11" s="40" t="s">
        <v>48</v>
      </c>
      <c r="F11" s="40" t="s">
        <v>51</v>
      </c>
      <c r="G11" s="40" t="s">
        <v>49</v>
      </c>
      <c r="H11" s="40" t="s">
        <v>146</v>
      </c>
      <c r="I11" s="40" t="s">
        <v>50</v>
      </c>
      <c r="J11" s="41" t="s">
        <v>119</v>
      </c>
      <c r="K11" s="41" t="s">
        <v>52</v>
      </c>
    </row>
    <row r="12" spans="1:11" ht="15" customHeight="1" x14ac:dyDescent="0.3">
      <c r="C12" s="62"/>
      <c r="D12" s="142"/>
      <c r="E12" s="63"/>
      <c r="F12" s="64"/>
      <c r="G12" s="65"/>
      <c r="H12" s="65"/>
      <c r="I12" s="140"/>
      <c r="J12" s="50" t="e" cm="1">
        <f t="array" ref="J12">SUMPRODUCT(
    Tracking[Betrag],
    --(Tracking[Datum]&lt;=Tracking[[#This Row],[Datum]]),
    (TRIM(Tracking[Type])="Einkommen") + (TRIM(Tracking[Type])="Initialbestand") + (TRIM(Tracking[Type])="System-Abgleich") - ((TRIM(Tracking[Type])="Fixkosten") + (TRIM(Tracking[Type])="Variablekosten") + (TRIM(Tracking[Type])="Investment"))
)</f>
        <v>#VALUE!</v>
      </c>
      <c r="K12" s="42">
        <f>IF(AND(Tracking[[#This Row],[Type]]="Einkommen",Einkommens_Verschiebung_Status=TRUE,DAY(Tracking[[#This Row],[Datum]])&gt;=Einkommens_Verschiebung_Starttag),DATE(YEAR(Tracking[[#This Row],[Datum]]),MONTH(Tracking[[#This Row],[Datum]])+1,1),Tracking[[#This Row],[Datum]])</f>
        <v>0</v>
      </c>
    </row>
  </sheetData>
  <sortState xmlns:xlrd2="http://schemas.microsoft.com/office/spreadsheetml/2017/richdata2" ref="C12:I12">
    <sortCondition ref="C12"/>
  </sortState>
  <mergeCells count="1">
    <mergeCell ref="A1:C3"/>
  </mergeCells>
  <conditionalFormatting sqref="E12:F12">
    <cfRule type="expression" dxfId="35" priority="20">
      <formula>ISNA(MATCH(E12,INDIRECT(D12),0))</formula>
    </cfRule>
  </conditionalFormatting>
  <conditionalFormatting sqref="G12:H12">
    <cfRule type="expression" dxfId="34" priority="15">
      <formula>OR(D12="Fixkosten",D12="Variablekosten")</formula>
    </cfRule>
    <cfRule type="expression" dxfId="33" priority="16">
      <formula>D12="Investment"</formula>
    </cfRule>
    <cfRule type="expression" dxfId="32" priority="17">
      <formula>D12="Variablekosten"</formula>
    </cfRule>
    <cfRule type="expression" dxfId="31" priority="18">
      <formula>D12="Fixkosten"</formula>
    </cfRule>
    <cfRule type="expression" dxfId="30" priority="19">
      <formula>D12="Einkommen"</formula>
    </cfRule>
  </conditionalFormatting>
  <conditionalFormatting sqref="K12">
    <cfRule type="expression" dxfId="29" priority="1">
      <formula>AND(D12="Einkommen",Einkommens_Verschiebung_Status=TRUE,DAY(C12)&gt;=Einkommens_Verschiebung_Starttag)</formula>
    </cfRule>
  </conditionalFormatting>
  <dataValidations count="5">
    <dataValidation type="date" operator="greaterThan" allowBlank="1" showInputMessage="1" showErrorMessage="1" errorTitle="Invalides Datum" sqref="C12" xr:uid="{02C4E854-DD7C-4711-A648-783539A7B997}">
      <formula1>1</formula1>
    </dataValidation>
    <dataValidation type="list" allowBlank="1" showInputMessage="1" showErrorMessage="1" errorTitle="Invalider Typ" sqref="D12" xr:uid="{1DB2C613-31B5-4563-B367-7FFCC2944B75}">
      <formula1>"Einkommen, Fixkosten, Variablekosten, Investment, System-Abgleich"</formula1>
    </dataValidation>
    <dataValidation type="custom" allowBlank="1" showInputMessage="1" showErrorMessage="1" errorTitle="Invalider Betrag" sqref="G12:H12" xr:uid="{E578F60F-850E-4C9D-AB1B-1F1DD5FA08CE}">
      <formula1>ISNUMBER(G12)</formula1>
    </dataValidation>
    <dataValidation type="list" allowBlank="1" showInputMessage="1" showErrorMessage="1" errorTitle="Invalide Kategorie" sqref="E12" xr:uid="{7C106DC4-58CE-412F-ADAA-2AE5DC35D34F}">
      <formula1>INDIRECT(D12)</formula1>
    </dataValidation>
    <dataValidation type="list" allowBlank="1" showInputMessage="1" showErrorMessage="1" sqref="F12" xr:uid="{8AA04ED1-220A-485C-9791-EA03C18ED0BD}">
      <formula1>INDIRECT($D12 &amp; "_sub")</formula1>
    </dataValidation>
  </dataValidations>
  <pageMargins left="0.7" right="0.7" top="0.78740157499999996" bottom="0.78740157499999996" header="0.3" footer="0.3"/>
  <pageSetup paperSize="9" orientation="portrait" horizontalDpi="300" verticalDpi="3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69DB-3E8F-44F9-8C8A-5F326F6E90E9}">
  <sheetPr codeName="Tabelle8">
    <tabColor theme="9" tint="0.79998168889431442"/>
  </sheetPr>
  <dimension ref="A1:BQ63"/>
  <sheetViews>
    <sheetView showGridLines="0" zoomScale="90" zoomScaleNormal="90" workbookViewId="0">
      <selection activeCell="BK32" sqref="BK32"/>
    </sheetView>
  </sheetViews>
  <sheetFormatPr baseColWidth="10" defaultColWidth="10.6640625" defaultRowHeight="14.4" x14ac:dyDescent="0.3"/>
  <cols>
    <col min="1" max="2" width="4.44140625" customWidth="1"/>
    <col min="3" max="3" width="11.44140625" hidden="1" customWidth="1"/>
    <col min="4" max="4" width="13.44140625" hidden="1" customWidth="1"/>
    <col min="5" max="8" width="11.44140625" hidden="1" customWidth="1"/>
    <col min="9" max="9" width="14.33203125" hidden="1" customWidth="1"/>
    <col min="10" max="10" width="33.88671875" hidden="1" customWidth="1"/>
    <col min="11" max="11" width="14" hidden="1" customWidth="1"/>
    <col min="12" max="12" width="16.109375" hidden="1" customWidth="1"/>
    <col min="13" max="13" width="13" hidden="1" customWidth="1"/>
    <col min="14" max="14" width="14" hidden="1" customWidth="1"/>
    <col min="15" max="15" width="15.109375" hidden="1" customWidth="1"/>
    <col min="16" max="16" width="11.44140625" hidden="1" customWidth="1"/>
    <col min="17" max="17" width="15" hidden="1" customWidth="1"/>
    <col min="18" max="19" width="11.44140625" hidden="1" customWidth="1"/>
    <col min="20" max="20" width="13" hidden="1" customWidth="1"/>
    <col min="21" max="21" width="12.6640625" hidden="1" customWidth="1"/>
    <col min="22" max="22" width="20.44140625" hidden="1" customWidth="1"/>
    <col min="23" max="23" width="13.88671875" hidden="1" customWidth="1"/>
    <col min="24" max="24" width="18.88671875" hidden="1" customWidth="1"/>
    <col min="25" max="25" width="21.88671875" customWidth="1"/>
    <col min="26" max="30" width="17.109375" customWidth="1"/>
    <col min="31" max="31" width="5.109375" customWidth="1"/>
    <col min="32" max="32" width="15.6640625" customWidth="1"/>
    <col min="33" max="33" width="13.109375" customWidth="1"/>
    <col min="34" max="34" width="2.88671875" customWidth="1"/>
    <col min="35" max="35" width="15.109375" customWidth="1"/>
    <col min="36" max="36" width="14" customWidth="1"/>
    <col min="37" max="37" width="6.33203125" customWidth="1"/>
    <col min="38" max="38" width="5.33203125" customWidth="1"/>
    <col min="39" max="39" width="15.6640625" customWidth="1"/>
    <col min="40" max="40" width="13.109375" customWidth="1"/>
    <col min="41" max="41" width="2.88671875" customWidth="1"/>
    <col min="42" max="42" width="15.109375" customWidth="1"/>
    <col min="43" max="43" width="14" customWidth="1"/>
    <col min="44" max="44" width="6.33203125" customWidth="1"/>
    <col min="45" max="45" width="5.33203125" customWidth="1"/>
  </cols>
  <sheetData>
    <row r="1" spans="1:69" s="39" customFormat="1" ht="15" customHeight="1" x14ac:dyDescent="0.7">
      <c r="A1" s="147" t="s">
        <v>2</v>
      </c>
      <c r="B1" s="147"/>
      <c r="C1" s="147"/>
      <c r="D1" s="147"/>
      <c r="E1" s="147"/>
      <c r="F1" s="147"/>
      <c r="G1" s="147"/>
      <c r="H1" s="147"/>
      <c r="I1" s="147"/>
      <c r="J1" s="147"/>
      <c r="K1" s="147"/>
      <c r="L1" s="147"/>
      <c r="M1" s="147"/>
      <c r="N1" s="147"/>
      <c r="O1" s="147"/>
      <c r="P1" s="147"/>
      <c r="Q1" s="147"/>
      <c r="R1" s="147"/>
      <c r="S1" s="147"/>
      <c r="T1" s="147"/>
      <c r="U1" s="147"/>
      <c r="V1" s="147"/>
      <c r="W1" s="147"/>
      <c r="X1" s="147"/>
      <c r="Y1" s="147"/>
    </row>
    <row r="2" spans="1:69" s="39" customFormat="1" ht="15" customHeight="1" x14ac:dyDescent="0.7">
      <c r="A2" s="147"/>
      <c r="B2" s="147"/>
      <c r="C2" s="147"/>
      <c r="D2" s="147"/>
      <c r="E2" s="147"/>
      <c r="F2" s="147"/>
      <c r="G2" s="147"/>
      <c r="H2" s="147"/>
      <c r="I2" s="147"/>
      <c r="J2" s="147"/>
      <c r="K2" s="147"/>
      <c r="L2" s="147"/>
      <c r="M2" s="147"/>
      <c r="N2" s="147"/>
      <c r="O2" s="147"/>
      <c r="P2" s="147"/>
      <c r="Q2" s="147"/>
      <c r="R2" s="147"/>
      <c r="S2" s="147"/>
      <c r="T2" s="147"/>
      <c r="U2" s="147"/>
      <c r="V2" s="147"/>
      <c r="W2" s="147"/>
      <c r="X2" s="147"/>
      <c r="Y2" s="147"/>
    </row>
    <row r="3" spans="1:69" s="39" customFormat="1" ht="15" customHeight="1" x14ac:dyDescent="0.7">
      <c r="A3" s="147"/>
      <c r="B3" s="147"/>
      <c r="C3" s="147"/>
      <c r="D3" s="147"/>
      <c r="E3" s="147"/>
      <c r="F3" s="147"/>
      <c r="G3" s="147"/>
      <c r="H3" s="147"/>
      <c r="I3" s="147"/>
      <c r="J3" s="147"/>
      <c r="K3" s="147"/>
      <c r="L3" s="147"/>
      <c r="M3" s="147"/>
      <c r="N3" s="147"/>
      <c r="O3" s="147"/>
      <c r="P3" s="147"/>
      <c r="Q3" s="147"/>
      <c r="R3" s="147"/>
      <c r="S3" s="147"/>
      <c r="T3" s="147"/>
      <c r="U3" s="147"/>
      <c r="V3" s="147"/>
      <c r="W3" s="147"/>
      <c r="X3" s="147"/>
      <c r="Y3" s="147"/>
    </row>
    <row r="5" spans="1:69" ht="16.2" thickBot="1" x14ac:dyDescent="0.35">
      <c r="AQ5" s="165" t="s">
        <v>63</v>
      </c>
      <c r="AR5" s="166"/>
    </row>
    <row r="6" spans="1:69" x14ac:dyDescent="0.3">
      <c r="AN6" s="169" t="s">
        <v>64</v>
      </c>
      <c r="AO6" s="169"/>
      <c r="AP6" s="170"/>
      <c r="AQ6" s="167" t="s">
        <v>68</v>
      </c>
      <c r="AR6" s="168"/>
    </row>
    <row r="8" spans="1:69" ht="16.2" thickBot="1" x14ac:dyDescent="0.35">
      <c r="AN8" s="169" t="s">
        <v>65</v>
      </c>
      <c r="AO8" s="169"/>
      <c r="AP8" s="170"/>
      <c r="AQ8" s="165" t="s">
        <v>66</v>
      </c>
      <c r="AR8" s="166"/>
    </row>
    <row r="9" spans="1:69" x14ac:dyDescent="0.3">
      <c r="AQ9" s="171" t="s">
        <v>70</v>
      </c>
      <c r="AR9" s="172"/>
    </row>
    <row r="10" spans="1:69" ht="15" thickBot="1" x14ac:dyDescent="0.35"/>
    <row r="11" spans="1:69" x14ac:dyDescent="0.3">
      <c r="C11" s="82"/>
      <c r="D11" s="83"/>
      <c r="E11" s="82"/>
      <c r="F11" s="84"/>
      <c r="G11" s="84"/>
      <c r="H11" s="84"/>
      <c r="I11" s="82"/>
      <c r="J11" s="84"/>
      <c r="K11" s="84"/>
      <c r="L11" s="83"/>
      <c r="M11" s="82"/>
      <c r="N11" s="83"/>
      <c r="O11" s="82"/>
      <c r="P11" s="84"/>
      <c r="Q11" s="84"/>
      <c r="R11" s="83"/>
      <c r="S11" s="82"/>
      <c r="T11" s="84"/>
      <c r="U11" s="84"/>
      <c r="V11" s="84"/>
      <c r="W11" s="84"/>
      <c r="X11" s="85"/>
      <c r="Y11" s="164" t="str" cm="1">
        <f t="array" aca="1" ref="Y11" ca="1">"Breakdown - "&amp; IF(selected_period="Jahresübersicht", selected_year &amp; " (Total Year)", selected_period_display &amp; " " &amp; selected_year)</f>
        <v>Breakdown - März 2026</v>
      </c>
      <c r="Z11" s="164"/>
      <c r="AA11" s="164"/>
      <c r="AB11" s="164"/>
      <c r="AC11" s="164"/>
      <c r="AD11" s="164"/>
      <c r="AF11" s="164" t="str" cm="1">
        <f t="array" aca="1" ref="AF11" ca="1">"Summary - "&amp; IF(selected_period="Jahresübersicht", selected_year &amp; " (Total Year)", selected_period_display &amp; " " &amp; selected_year)</f>
        <v>Summary - März 2026</v>
      </c>
      <c r="AG11" s="164"/>
      <c r="AH11" s="164"/>
      <c r="AI11" s="164"/>
      <c r="AJ11" s="164"/>
      <c r="AK11" s="164"/>
      <c r="AL11" s="164"/>
      <c r="AM11" s="164"/>
      <c r="AN11" s="164"/>
      <c r="AO11" s="164"/>
      <c r="AP11" s="164"/>
      <c r="AQ11" s="164"/>
      <c r="AR11" s="164"/>
      <c r="AT11" s="164" t="str">
        <f ca="1">"Summary - "&amp; IF(selected_period="Jahresübersicht", selected_year &amp; " (Total Year)", selected_period_display &amp; " " &amp; selected_year)</f>
        <v>Summary - März 2026</v>
      </c>
      <c r="AU11" s="164"/>
      <c r="AV11" s="164"/>
      <c r="AW11" s="164"/>
      <c r="AX11" s="164"/>
      <c r="AY11" s="164"/>
      <c r="AZ11" s="164"/>
      <c r="BA11" s="164"/>
      <c r="BB11" s="164"/>
      <c r="BC11" s="164"/>
      <c r="BD11" s="164"/>
      <c r="BE11" s="164"/>
      <c r="BF11" s="164"/>
      <c r="BH11" s="164" t="s">
        <v>144</v>
      </c>
      <c r="BI11" s="164"/>
      <c r="BJ11" s="164"/>
      <c r="BK11" s="164"/>
      <c r="BL11" s="164"/>
      <c r="BM11" s="164"/>
      <c r="BN11" s="164"/>
      <c r="BO11" s="164"/>
      <c r="BP11" s="164"/>
      <c r="BQ11" s="164"/>
    </row>
    <row r="12" spans="1:69" x14ac:dyDescent="0.3">
      <c r="C12" s="76" t="s">
        <v>88</v>
      </c>
      <c r="D12" s="77" t="s">
        <v>89</v>
      </c>
      <c r="E12" s="78" t="s">
        <v>90</v>
      </c>
      <c r="F12" s="68" t="s">
        <v>91</v>
      </c>
      <c r="G12" s="68" t="s">
        <v>92</v>
      </c>
      <c r="H12" s="68" t="s">
        <v>93</v>
      </c>
      <c r="I12" s="79" t="s">
        <v>94</v>
      </c>
      <c r="J12" s="67" t="s">
        <v>95</v>
      </c>
      <c r="K12" s="67" t="s">
        <v>96</v>
      </c>
      <c r="L12" s="80" t="s">
        <v>97</v>
      </c>
      <c r="M12" s="79" t="s">
        <v>98</v>
      </c>
      <c r="N12" s="80" t="s">
        <v>99</v>
      </c>
      <c r="O12" s="79" t="s">
        <v>100</v>
      </c>
      <c r="P12" s="67" t="s">
        <v>101</v>
      </c>
      <c r="Q12" s="67" t="s">
        <v>102</v>
      </c>
      <c r="R12" s="80" t="s">
        <v>103</v>
      </c>
      <c r="S12" s="79" t="s">
        <v>104</v>
      </c>
      <c r="T12" s="67" t="s">
        <v>105</v>
      </c>
      <c r="U12" s="67" t="s">
        <v>106</v>
      </c>
      <c r="V12" s="67" t="s">
        <v>107</v>
      </c>
      <c r="W12" s="67" t="s">
        <v>108</v>
      </c>
      <c r="X12" s="81" t="s">
        <v>109</v>
      </c>
      <c r="Y12" s="86"/>
      <c r="Z12" s="86"/>
      <c r="AA12" s="86"/>
      <c r="AB12" s="86"/>
      <c r="AC12" s="86"/>
      <c r="AD12" s="86"/>
    </row>
    <row r="13" spans="1:69" x14ac:dyDescent="0.3">
      <c r="C13" s="87" cm="1">
        <f t="array" ref="C13">Einkommen_Header_Row</f>
        <v>9</v>
      </c>
      <c r="D13" s="88">
        <f t="shared" ref="D13:D44" si="0">IF(is_header,row_id,
  IF(NOT(is_empty),D12,-1))</f>
        <v>9</v>
      </c>
      <c r="E13" s="87" cm="1">
        <f t="array" ref="E13">1*OR(row_id=Einkommen_Header_Row,row_id=Fixkosten_Header_Row,row_id=Variablekosten_Header_Row,row_id=Investment_Header_Row)</f>
        <v>1</v>
      </c>
      <c r="F13" s="86">
        <f t="shared" ref="F13:F44" si="1">1*NOT(OR(is_header,is_total,is_empty))</f>
        <v>0</v>
      </c>
      <c r="G13" s="86" cm="1">
        <f t="array" ref="G13">1*OR(row_id=Einkommen_Total_Row,row_id=Fixkosten_Total_Row,row_id=Variablekosten_Total_row,row_id=Investment_Total_Row)</f>
        <v>0</v>
      </c>
      <c r="H13" s="86">
        <f t="shared" ref="H13:H44" si="2">1*OR(row_id="/1", row_id="/2",row_id="/3",row_id=-1)</f>
        <v>0</v>
      </c>
      <c r="I13" s="87" t="str" cm="1">
        <f t="array" ref="I13">IFERROR(INDEX('Budget Planning'!$C:$C,header_row_id),"")</f>
        <v>Einkommen</v>
      </c>
      <c r="J13" s="86" t="str" cm="1">
        <f t="array" ref="J13">IFERROR(INDEX('Budget Planning'!$C:$C,row_id),"")</f>
        <v>Einkommen</v>
      </c>
      <c r="K13" s="89" t="str" cm="1">
        <f t="array" ref="K1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3" s="90" t="str" cm="1">
        <f t="array" ref="L13">IF(OR(is_header,is_empty),"",
INDEX('Budget Planning'!$E:$FA,row_id,
MATCH(IF(selected_period="Jahresübersicht",selected_year,DATE(selected_year,selected_period,1)),'Budget Planning'!$E$9:$FA$9,0)))</f>
        <v/>
      </c>
      <c r="M13" s="91" t="str" cm="1">
        <f t="array" ref="M1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3" s="92" t="str" cm="1">
        <f t="array" ref="N1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3" s="91" t="str">
        <f t="shared" ref="O13:O44" si="3">IF(is_cat, ADDRESS(sort_min_row, COLUMN(tracked)) &amp; ":" &amp; ADDRESS(sort_max_row, COLUMN(tracked)),"")</f>
        <v/>
      </c>
      <c r="P13" s="6" t="str">
        <f t="shared" ref="P13:P44" ca="1" si="4">IF(is_cat, RANK(tracked, INDIRECT(tracked_range),0),"")</f>
        <v/>
      </c>
      <c r="Q13" s="6" t="str">
        <f t="shared" ref="Q13:Q44" si="5">IF(is_cat, ADDRESS(sort_min_row, COLUMN(budget)) &amp; ":" &amp; ADDRESS(sort_max_row, COLUMN(budget)),"")</f>
        <v/>
      </c>
      <c r="R13" s="92" t="str">
        <f t="shared" ref="R13:R44" ca="1" si="6">IF(is_cat, RANK(budget, INDIRECT(budget_range),0),"")</f>
        <v/>
      </c>
      <c r="S13" s="91" t="str">
        <f t="shared" ref="S13:S44" si="7">IF(is_cat, _xlfn.NUMBERVALUE(tracked_rank &amp; budget_rank),"")</f>
        <v/>
      </c>
      <c r="T13" s="6" t="str">
        <f t="shared" ref="T13:T44" si="8">IF(is_cat, ADDRESS(sort_min_row, COLUMN(comb_rank)) &amp; ":" &amp; ADDRESS(sort_max_row, COLUMN(comb_rank)),"")</f>
        <v/>
      </c>
      <c r="U13" s="6" t="str">
        <f t="shared" ref="U13:U44" ca="1" si="9">IF(is_cat, RANK(comb_rank, INDIRECT(comb_rank_range),1),"")</f>
        <v/>
      </c>
      <c r="V13" s="6" t="str">
        <f t="shared" ref="V13:V44" si="10">IF(is_cat, ADDRESS(sort_min_row, COLUMN(comb_rank_norm)) &amp; ":" &amp; ADDRESS(ROW(), COLUMN(comb_rank_norm)),"")</f>
        <v/>
      </c>
      <c r="W13" s="6" t="str">
        <f t="shared" ref="W13:W44" ca="1" si="11">IF(is_cat,comb_rank_norm + COUNTIF(INDIRECT(comb_rank_norm_run_range),comb_rank_norm)-1,"")</f>
        <v/>
      </c>
      <c r="X13" s="93">
        <f t="shared" ref="X13:X44" si="12">IF(is_cat, header_row_id + comb_rank_unique, row_id)</f>
        <v>9</v>
      </c>
      <c r="Y13" s="86" t="str">
        <f t="shared" ref="Y13:Y44" si="13">IF(is_empty, "", INDEX($J:$J, MATCH(row_id, $X:$X,0)))</f>
        <v>Einkommen</v>
      </c>
      <c r="Z13" s="95" t="str">
        <f t="shared" ref="Z13:Z44" si="14">IF(is_empty,"", IF(is_header,"Tracked",INDEX($K:$K, MATCH(row_id, $X:$X,0))))</f>
        <v>Tracked</v>
      </c>
      <c r="AA13" s="95" t="str">
        <f t="shared" ref="AA13:AA44" si="15">IF(is_empty,"", IF(is_header,"Budget",INDEX($L:$L, MATCH(row_id, $X:$X,0))))</f>
        <v>Budget</v>
      </c>
      <c r="AB13" s="94" t="str" cm="1">
        <f t="array" ref="AB13">IF(is_empty,"",IF(is_header,"% Compl.", IFERROR(out_tracked/out_budget,"-")))</f>
        <v>% Compl.</v>
      </c>
      <c r="AC13" s="95" t="str" cm="1">
        <f t="array" ref="AC13">IF(is_empty,"", IF(is_header, "Remaining", IF(out_budget - out_tracked &gt; 0, out_budget - out_tracked,0)))</f>
        <v>Remaining</v>
      </c>
      <c r="AD13" s="95" t="str">
        <f t="shared" ref="AD13:AD44" si="16">IF(is_empty,"", IF(is_header, "Excess", IF(out_budget - out_tracked &lt; 0, out_tracked - out_budget,0)))</f>
        <v>Excess</v>
      </c>
      <c r="AF13" s="99"/>
      <c r="AG13" s="100"/>
      <c r="AH13" s="100"/>
      <c r="AI13" s="100"/>
      <c r="AJ13" s="100"/>
      <c r="AK13" s="101"/>
      <c r="AM13" s="99"/>
      <c r="AN13" s="100"/>
      <c r="AO13" s="100"/>
      <c r="AP13" s="100"/>
      <c r="AQ13" s="100"/>
      <c r="AR13" s="101"/>
      <c r="AT13" s="99"/>
      <c r="AU13" s="100"/>
      <c r="AV13" s="100"/>
      <c r="AW13" s="100"/>
      <c r="AX13" s="100"/>
      <c r="AY13" s="100"/>
      <c r="AZ13" s="100"/>
      <c r="BA13" s="100"/>
      <c r="BB13" s="100"/>
      <c r="BC13" s="100"/>
      <c r="BD13" s="100"/>
      <c r="BE13" s="100"/>
      <c r="BF13" s="101"/>
      <c r="BH13" s="99"/>
      <c r="BI13" s="100"/>
      <c r="BJ13" s="100"/>
      <c r="BK13" s="100"/>
      <c r="BL13" s="100"/>
      <c r="BM13" s="100"/>
      <c r="BN13" s="100"/>
      <c r="BO13" s="100"/>
      <c r="BP13" s="100"/>
      <c r="BQ13" s="101"/>
    </row>
    <row r="14" spans="1:69" x14ac:dyDescent="0.3">
      <c r="C14" s="87" cm="1">
        <f t="array" ref="C14">IF(C13=-1,-1,
  IF(C13&lt;Einkommen_Max_Row,C13+1,
   IF(C13=Einkommen_Max_Row,Einkommen_Total_Row,
    IF(C13=Einkommen_Total_Row,"/1",
     IF(C13="/1",Fixkosten_Header_Row,
      IF(C13&lt;Fixkosten_Max_Row,C13+1,
       IF(C13=Fixkosten_Max_Row,Fixkosten_Total_Row,
        IF(C13=Fixkosten_Total_Row,"/2",
         IF(C13="/2",Variablekosten_Header_Row,
          IF(C13&lt;Variablekosten_Max_Row,C13+1,
           IF(C13=Variablekosten_Max_Row,Variablekosten_Total_row,
            IF(C13=Variablekosten_Total_row,"/3",
             IF(C13="/3",Investment_Header_Row,
              IF(C13&lt;Investment_Max_Row,C13+1,
               IF(C13=Investment_Max_Row,Investment_Total_Row,-1)))))))))))))))</f>
        <v>10</v>
      </c>
      <c r="D14" s="88">
        <f t="shared" si="0"/>
        <v>9</v>
      </c>
      <c r="E14" s="87" cm="1">
        <f t="array" ref="E14">1*OR(row_id=Einkommen_Header_Row,row_id=Fixkosten_Header_Row,row_id=Variablekosten_Header_Row,row_id=Investment_Header_Row)</f>
        <v>0</v>
      </c>
      <c r="F14" s="86">
        <f t="shared" si="1"/>
        <v>1</v>
      </c>
      <c r="G14" s="86" cm="1">
        <f t="array" ref="G14">1*OR(row_id=Einkommen_Total_Row,row_id=Fixkosten_Total_Row,row_id=Variablekosten_Total_row,row_id=Investment_Total_Row)</f>
        <v>0</v>
      </c>
      <c r="H14" s="86">
        <f t="shared" si="2"/>
        <v>0</v>
      </c>
      <c r="I14" s="87" t="str" cm="1">
        <f t="array" ref="I14">IFERROR(INDEX('Budget Planning'!$C:$C,header_row_id),"")</f>
        <v>Einkommen</v>
      </c>
      <c r="J14" s="86" t="str" cm="1">
        <f t="array" ref="J14">IFERROR(INDEX('Budget Planning'!$C:$C,row_id),"")</f>
        <v>Ein 1</v>
      </c>
      <c r="K14" s="89" cm="1">
        <f t="array" aca="1" ref="K14"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14" s="90" t="e" cm="1">
        <f t="array" aca="1" ref="L14" ca="1">IF(OR(is_header,is_empty),"",
INDEX('Budget Planning'!$E:$FA,row_id,
MATCH(IF(selected_period="Jahresübersicht",selected_year,DATE(selected_year,selected_period,1)),'Budget Planning'!$E$9:$FA$9,0)))</f>
        <v>#N/A</v>
      </c>
      <c r="M14" s="91" cm="1">
        <f t="array" ref="M1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14</v>
      </c>
      <c r="N14" s="92" cm="1">
        <f t="array" ref="N1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16</v>
      </c>
      <c r="O14" s="91" t="str">
        <f t="shared" si="3"/>
        <v>$K$14:$K$16</v>
      </c>
      <c r="P14" s="6">
        <f t="shared" ca="1" si="4"/>
        <v>1</v>
      </c>
      <c r="Q14" s="6" t="str">
        <f t="shared" si="5"/>
        <v>$L$14:$L$16</v>
      </c>
      <c r="R14" s="92" t="e">
        <f t="shared" ca="1" si="6"/>
        <v>#N/A</v>
      </c>
      <c r="S14" s="91" t="e">
        <f t="shared" ca="1" si="7"/>
        <v>#N/A</v>
      </c>
      <c r="T14" s="6" t="str">
        <f t="shared" si="8"/>
        <v>$S$14:$S$16</v>
      </c>
      <c r="U14" s="6" t="e">
        <f t="shared" ca="1" si="9"/>
        <v>#N/A</v>
      </c>
      <c r="V14" s="6" t="str">
        <f t="shared" si="10"/>
        <v>$U$14:$U$14</v>
      </c>
      <c r="W14" s="6" t="e">
        <f t="shared" ca="1" si="11"/>
        <v>#N/A</v>
      </c>
      <c r="X14" s="93" t="e">
        <f t="shared" ca="1" si="12"/>
        <v>#N/A</v>
      </c>
      <c r="Y14" s="86" t="e">
        <f t="shared" ca="1" si="13"/>
        <v>#N/A</v>
      </c>
      <c r="Z14" s="95" t="e">
        <f t="shared" ca="1" si="14"/>
        <v>#N/A</v>
      </c>
      <c r="AA14" s="95" t="e">
        <f t="shared" ca="1" si="15"/>
        <v>#N/A</v>
      </c>
      <c r="AB14" s="94" t="str" cm="1">
        <f t="array" aca="1" ref="AB14" ca="1">IF(is_empty,"",IF(is_header,"% Compl.", IFERROR(out_tracked/out_budget,"-")))</f>
        <v>-</v>
      </c>
      <c r="AC14" s="95" t="e" cm="1">
        <f t="array" aca="1" ref="AC14" ca="1">IF(is_empty,"", IF(is_header, "Remaining", IF(out_budget - out_tracked &gt; 0, out_budget - out_tracked,0)))</f>
        <v>#N/A</v>
      </c>
      <c r="AD14" s="95" t="e">
        <f t="shared" ca="1" si="16"/>
        <v>#N/A</v>
      </c>
      <c r="AF14" s="102"/>
      <c r="AK14" s="103"/>
      <c r="AM14" s="102"/>
      <c r="AR14" s="103"/>
      <c r="AT14" s="102"/>
      <c r="BF14" s="103"/>
      <c r="BH14" s="102"/>
      <c r="BQ14" s="103"/>
    </row>
    <row r="15" spans="1:69" x14ac:dyDescent="0.3">
      <c r="C15" s="87" cm="1">
        <f t="array" ref="C15">IF(C14=-1,-1,
  IF(C14&lt;Einkommen_Max_Row,C14+1,
   IF(C14=Einkommen_Max_Row,Einkommen_Total_Row,
    IF(C14=Einkommen_Total_Row,"/1",
     IF(C14="/1",Fixkosten_Header_Row,
      IF(C14&lt;Fixkosten_Max_Row,C14+1,
       IF(C14=Fixkosten_Max_Row,Fixkosten_Total_Row,
        IF(C14=Fixkosten_Total_Row,"/2",
         IF(C14="/2",Variablekosten_Header_Row,
          IF(C14&lt;Variablekosten_Max_Row,C14+1,
           IF(C14=Variablekosten_Max_Row,Variablekosten_Total_row,
            IF(C14=Variablekosten_Total_row,"/3",
             IF(C14="/3",Investment_Header_Row,
              IF(C14&lt;Investment_Max_Row,C14+1,
               IF(C14=Investment_Max_Row,Investment_Total_Row,-1)))))))))))))))</f>
        <v>11</v>
      </c>
      <c r="D15" s="88">
        <f t="shared" si="0"/>
        <v>9</v>
      </c>
      <c r="E15" s="87" cm="1">
        <f t="array" ref="E15">1*OR(row_id=Einkommen_Header_Row,row_id=Fixkosten_Header_Row,row_id=Variablekosten_Header_Row,row_id=Investment_Header_Row)</f>
        <v>0</v>
      </c>
      <c r="F15" s="86">
        <f t="shared" si="1"/>
        <v>1</v>
      </c>
      <c r="G15" s="86" cm="1">
        <f t="array" ref="G15">1*OR(row_id=Einkommen_Total_Row,row_id=Fixkosten_Total_Row,row_id=Variablekosten_Total_row,row_id=Investment_Total_Row)</f>
        <v>0</v>
      </c>
      <c r="H15" s="86">
        <f t="shared" si="2"/>
        <v>0</v>
      </c>
      <c r="I15" s="87" t="str" cm="1">
        <f t="array" ref="I15">IFERROR(INDEX('Budget Planning'!$C:$C,header_row_id),"")</f>
        <v>Einkommen</v>
      </c>
      <c r="J15" s="86" t="str" cm="1">
        <f t="array" ref="J15">IFERROR(INDEX('Budget Planning'!$C:$C,row_id),"")</f>
        <v>Ein 2</v>
      </c>
      <c r="K15" s="89" cm="1">
        <f t="array" aca="1" ref="K15"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15" s="90" t="e" cm="1">
        <f t="array" aca="1" ref="L15" ca="1">IF(OR(is_header,is_empty),"",
INDEX('Budget Planning'!$E:$FA,row_id,
MATCH(IF(selected_period="Jahresübersicht",selected_year,DATE(selected_year,selected_period,1)),'Budget Planning'!$E$9:$FA$9,0)))</f>
        <v>#N/A</v>
      </c>
      <c r="M15" s="91" cm="1">
        <f t="array" ref="M1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14</v>
      </c>
      <c r="N15" s="92" cm="1">
        <f t="array" ref="N1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16</v>
      </c>
      <c r="O15" s="91" t="str">
        <f t="shared" si="3"/>
        <v>$K$14:$K$16</v>
      </c>
      <c r="P15" s="6">
        <f t="shared" ca="1" si="4"/>
        <v>1</v>
      </c>
      <c r="Q15" s="6" t="str">
        <f t="shared" si="5"/>
        <v>$L$14:$L$16</v>
      </c>
      <c r="R15" s="92" t="e">
        <f t="shared" ca="1" si="6"/>
        <v>#N/A</v>
      </c>
      <c r="S15" s="91" t="e">
        <f t="shared" ca="1" si="7"/>
        <v>#N/A</v>
      </c>
      <c r="T15" s="6" t="str">
        <f t="shared" si="8"/>
        <v>$S$14:$S$16</v>
      </c>
      <c r="U15" s="6" t="e">
        <f t="shared" ca="1" si="9"/>
        <v>#N/A</v>
      </c>
      <c r="V15" s="6" t="str">
        <f t="shared" si="10"/>
        <v>$U$14:$U$15</v>
      </c>
      <c r="W15" s="6" t="e">
        <f t="shared" ca="1" si="11"/>
        <v>#N/A</v>
      </c>
      <c r="X15" s="93" t="e">
        <f t="shared" ca="1" si="12"/>
        <v>#N/A</v>
      </c>
      <c r="Y15" s="86" t="e">
        <f t="shared" ca="1" si="13"/>
        <v>#N/A</v>
      </c>
      <c r="Z15" s="95" t="e">
        <f t="shared" ca="1" si="14"/>
        <v>#N/A</v>
      </c>
      <c r="AA15" s="95" t="e">
        <f t="shared" ca="1" si="15"/>
        <v>#N/A</v>
      </c>
      <c r="AB15" s="94" t="str" cm="1">
        <f t="array" aca="1" ref="AB15" ca="1">IF(is_empty,"",IF(is_header,"% Compl.", IFERROR(out_tracked/out_budget,"-")))</f>
        <v>-</v>
      </c>
      <c r="AC15" s="95" t="e" cm="1">
        <f t="array" aca="1" ref="AC15" ca="1">IF(is_empty,"", IF(is_header, "Remaining", IF(out_budget - out_tracked &gt; 0, out_budget - out_tracked,0)))</f>
        <v>#N/A</v>
      </c>
      <c r="AD15" s="95" t="e">
        <f t="shared" ca="1" si="16"/>
        <v>#N/A</v>
      </c>
      <c r="AF15" s="102"/>
      <c r="AK15" s="103"/>
      <c r="AM15" s="102"/>
      <c r="AR15" s="103"/>
      <c r="AT15" s="102"/>
      <c r="BF15" s="103"/>
      <c r="BH15" s="102"/>
      <c r="BQ15" s="103"/>
    </row>
    <row r="16" spans="1:69" x14ac:dyDescent="0.3">
      <c r="C16" s="87" cm="1">
        <f t="array" ref="C16">IF(C15=-1,-1,
  IF(C15&lt;Einkommen_Max_Row,C15+1,
   IF(C15=Einkommen_Max_Row,Einkommen_Total_Row,
    IF(C15=Einkommen_Total_Row,"/1",
     IF(C15="/1",Fixkosten_Header_Row,
      IF(C15&lt;Fixkosten_Max_Row,C15+1,
       IF(C15=Fixkosten_Max_Row,Fixkosten_Total_Row,
        IF(C15=Fixkosten_Total_Row,"/2",
         IF(C15="/2",Variablekosten_Header_Row,
          IF(C15&lt;Variablekosten_Max_Row,C15+1,
           IF(C15=Variablekosten_Max_Row,Variablekosten_Total_row,
            IF(C15=Variablekosten_Total_row,"/3",
             IF(C15="/3",Investment_Header_Row,
              IF(C15&lt;Investment_Max_Row,C15+1,
               IF(C15=Investment_Max_Row,Investment_Total_Row,-1)))))))))))))))</f>
        <v>12</v>
      </c>
      <c r="D16" s="88">
        <f t="shared" si="0"/>
        <v>9</v>
      </c>
      <c r="E16" s="87" cm="1">
        <f t="array" ref="E16">1*OR(row_id=Einkommen_Header_Row,row_id=Fixkosten_Header_Row,row_id=Variablekosten_Header_Row,row_id=Investment_Header_Row)</f>
        <v>0</v>
      </c>
      <c r="F16" s="86">
        <f t="shared" si="1"/>
        <v>1</v>
      </c>
      <c r="G16" s="86" cm="1">
        <f t="array" ref="G16">1*OR(row_id=Einkommen_Total_Row,row_id=Fixkosten_Total_Row,row_id=Variablekosten_Total_row,row_id=Investment_Total_Row)</f>
        <v>0</v>
      </c>
      <c r="H16" s="86">
        <f t="shared" si="2"/>
        <v>0</v>
      </c>
      <c r="I16" s="87" t="str" cm="1">
        <f t="array" ref="I16">IFERROR(INDEX('Budget Planning'!$C:$C,header_row_id),"")</f>
        <v>Einkommen</v>
      </c>
      <c r="J16" s="86" t="str" cm="1">
        <f t="array" ref="J16">IFERROR(INDEX('Budget Planning'!$C:$C,row_id),"")</f>
        <v>Ein 3</v>
      </c>
      <c r="K16" s="89" cm="1">
        <f t="array" aca="1" ref="K16"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16" s="90" t="e" cm="1">
        <f t="array" aca="1" ref="L16" ca="1">IF(OR(is_header,is_empty),"",
INDEX('Budget Planning'!$E:$FA,row_id,
MATCH(IF(selected_period="Jahresübersicht",selected_year,DATE(selected_year,selected_period,1)),'Budget Planning'!$E$9:$FA$9,0)))</f>
        <v>#N/A</v>
      </c>
      <c r="M16" s="91" cm="1">
        <f t="array" ref="M1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14</v>
      </c>
      <c r="N16" s="92" cm="1">
        <f t="array" ref="N1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16</v>
      </c>
      <c r="O16" s="91" t="str">
        <f t="shared" si="3"/>
        <v>$K$14:$K$16</v>
      </c>
      <c r="P16" s="6">
        <f t="shared" ca="1" si="4"/>
        <v>1</v>
      </c>
      <c r="Q16" s="6" t="str">
        <f t="shared" si="5"/>
        <v>$L$14:$L$16</v>
      </c>
      <c r="R16" s="92" t="e">
        <f t="shared" ca="1" si="6"/>
        <v>#N/A</v>
      </c>
      <c r="S16" s="91" t="e">
        <f t="shared" ca="1" si="7"/>
        <v>#N/A</v>
      </c>
      <c r="T16" s="6" t="str">
        <f t="shared" si="8"/>
        <v>$S$14:$S$16</v>
      </c>
      <c r="U16" s="6" t="e">
        <f t="shared" ca="1" si="9"/>
        <v>#N/A</v>
      </c>
      <c r="V16" s="6" t="str">
        <f t="shared" si="10"/>
        <v>$U$14:$U$16</v>
      </c>
      <c r="W16" s="6" t="e">
        <f t="shared" ca="1" si="11"/>
        <v>#N/A</v>
      </c>
      <c r="X16" s="93" t="e">
        <f t="shared" ca="1" si="12"/>
        <v>#N/A</v>
      </c>
      <c r="Y16" s="86" t="e">
        <f t="shared" ca="1" si="13"/>
        <v>#N/A</v>
      </c>
      <c r="Z16" s="95" t="e">
        <f t="shared" ca="1" si="14"/>
        <v>#N/A</v>
      </c>
      <c r="AA16" s="95" t="e">
        <f t="shared" ca="1" si="15"/>
        <v>#N/A</v>
      </c>
      <c r="AB16" s="94" t="str" cm="1">
        <f t="array" aca="1" ref="AB16" ca="1">IF(is_empty,"",IF(is_header,"% Compl.", IFERROR(out_tracked/out_budget,"-")))</f>
        <v>-</v>
      </c>
      <c r="AC16" s="95" t="e" cm="1">
        <f t="array" aca="1" ref="AC16" ca="1">IF(is_empty,"", IF(is_header, "Remaining", IF(out_budget - out_tracked &gt; 0, out_budget - out_tracked,0)))</f>
        <v>#N/A</v>
      </c>
      <c r="AD16" s="95" t="e">
        <f t="shared" ca="1" si="16"/>
        <v>#N/A</v>
      </c>
      <c r="AF16" s="102"/>
      <c r="AI16" s="116" t="e">
        <f ca="1">Calculations!D34</f>
        <v>#N/A</v>
      </c>
      <c r="AJ16" s="117" t="e">
        <f ca="1">Calculations!E34</f>
        <v>#N/A</v>
      </c>
      <c r="AK16" s="103"/>
      <c r="AM16" s="102"/>
      <c r="AP16" s="116" t="e">
        <f ca="1">Calculations!H34</f>
        <v>#N/A</v>
      </c>
      <c r="AQ16" s="117" t="e">
        <f ca="1">Calculations!I34</f>
        <v>#N/A</v>
      </c>
      <c r="AR16" s="103"/>
      <c r="AT16" s="102"/>
      <c r="BF16" s="103"/>
      <c r="BH16" s="102"/>
      <c r="BQ16" s="103"/>
    </row>
    <row r="17" spans="3:69" x14ac:dyDescent="0.3">
      <c r="C17" s="87" cm="1">
        <f t="array" ref="C17">IF(C16=-1,-1,
  IF(C16&lt;Einkommen_Max_Row,C16+1,
   IF(C16=Einkommen_Max_Row,Einkommen_Total_Row,
    IF(C16=Einkommen_Total_Row,"/1",
     IF(C16="/1",Fixkosten_Header_Row,
      IF(C16&lt;Fixkosten_Max_Row,C16+1,
       IF(C16=Fixkosten_Max_Row,Fixkosten_Total_Row,
        IF(C16=Fixkosten_Total_Row,"/2",
         IF(C16="/2",Variablekosten_Header_Row,
          IF(C16&lt;Variablekosten_Max_Row,C16+1,
           IF(C16=Variablekosten_Max_Row,Variablekosten_Total_row,
            IF(C16=Variablekosten_Total_row,"/3",
             IF(C16="/3",Investment_Header_Row,
              IF(C16&lt;Investment_Max_Row,C16+1,
               IF(C16=Investment_Max_Row,Investment_Total_Row,-1)))))))))))))))</f>
        <v>20</v>
      </c>
      <c r="D17" s="88">
        <f t="shared" si="0"/>
        <v>9</v>
      </c>
      <c r="E17" s="87" cm="1">
        <f t="array" ref="E17">1*OR(row_id=Einkommen_Header_Row,row_id=Fixkosten_Header_Row,row_id=Variablekosten_Header_Row,row_id=Investment_Header_Row)</f>
        <v>0</v>
      </c>
      <c r="F17" s="86">
        <f t="shared" si="1"/>
        <v>0</v>
      </c>
      <c r="G17" s="86" cm="1">
        <f t="array" ref="G17">1*OR(row_id=Einkommen_Total_Row,row_id=Fixkosten_Total_Row,row_id=Variablekosten_Total_row,row_id=Investment_Total_Row)</f>
        <v>1</v>
      </c>
      <c r="H17" s="86">
        <f t="shared" si="2"/>
        <v>0</v>
      </c>
      <c r="I17" s="87" t="str" cm="1">
        <f t="array" ref="I17">IFERROR(INDEX('Budget Planning'!$C:$C,header_row_id),"")</f>
        <v>Einkommen</v>
      </c>
      <c r="J17" s="86" t="str" cm="1">
        <f t="array" ref="J17">IFERROR(INDEX('Budget Planning'!$C:$C,row_id),"")</f>
        <v>Total</v>
      </c>
      <c r="K17" s="89" cm="1">
        <f t="array" aca="1" ref="K17"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17" s="90" t="e" cm="1">
        <f t="array" aca="1" ref="L17" ca="1">IF(OR(is_header,is_empty),"",
INDEX('Budget Planning'!$E:$FA,row_id,
MATCH(IF(selected_period="Jahresübersicht",selected_year,DATE(selected_year,selected_period,1)),'Budget Planning'!$E$9:$FA$9,0)))</f>
        <v>#N/A</v>
      </c>
      <c r="M17" s="91" t="str" cm="1">
        <f t="array" ref="M1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7" s="92" t="str" cm="1">
        <f t="array" ref="N1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7" s="91" t="str">
        <f t="shared" si="3"/>
        <v/>
      </c>
      <c r="P17" s="6" t="str">
        <f t="shared" ca="1" si="4"/>
        <v/>
      </c>
      <c r="Q17" s="6" t="str">
        <f t="shared" si="5"/>
        <v/>
      </c>
      <c r="R17" s="92" t="str">
        <f t="shared" ca="1" si="6"/>
        <v/>
      </c>
      <c r="S17" s="91" t="str">
        <f t="shared" si="7"/>
        <v/>
      </c>
      <c r="T17" s="6" t="str">
        <f t="shared" si="8"/>
        <v/>
      </c>
      <c r="U17" s="6" t="str">
        <f t="shared" ca="1" si="9"/>
        <v/>
      </c>
      <c r="V17" s="6" t="str">
        <f t="shared" si="10"/>
        <v/>
      </c>
      <c r="W17" s="6" t="str">
        <f t="shared" ca="1" si="11"/>
        <v/>
      </c>
      <c r="X17" s="93">
        <f t="shared" si="12"/>
        <v>20</v>
      </c>
      <c r="Y17" s="86" t="str">
        <f t="shared" ca="1" si="13"/>
        <v>Total</v>
      </c>
      <c r="Z17" s="95">
        <f t="shared" ca="1" si="14"/>
        <v>0</v>
      </c>
      <c r="AA17" s="95" t="e">
        <f t="shared" ca="1" si="15"/>
        <v>#N/A</v>
      </c>
      <c r="AB17" s="94" t="str" cm="1">
        <f t="array" aca="1" ref="AB17" ca="1">IF(is_empty,"",IF(is_header,"% Compl.", IFERROR(out_tracked/out_budget,"-")))</f>
        <v>-</v>
      </c>
      <c r="AC17" s="95" t="e" cm="1">
        <f t="array" aca="1" ref="AC17" ca="1">IF(is_empty,"", IF(is_header, "Remaining", IF(out_budget - out_tracked &gt; 0, out_budget - out_tracked,0)))</f>
        <v>#N/A</v>
      </c>
      <c r="AD17" s="95" t="e">
        <f t="shared" ca="1" si="16"/>
        <v>#N/A</v>
      </c>
      <c r="AF17" s="102"/>
      <c r="AI17" s="116" t="e">
        <f ca="1">Calculations!D35</f>
        <v>#N/A</v>
      </c>
      <c r="AJ17" s="117" t="e">
        <f ca="1">Calculations!E35</f>
        <v>#N/A</v>
      </c>
      <c r="AK17" s="103"/>
      <c r="AM17" s="102"/>
      <c r="AP17" s="116" t="e">
        <f ca="1">Calculations!H35</f>
        <v>#N/A</v>
      </c>
      <c r="AQ17" s="117" t="e">
        <f ca="1">Calculations!I35</f>
        <v>#N/A</v>
      </c>
      <c r="AR17" s="103"/>
      <c r="AT17" s="102"/>
      <c r="BF17" s="103"/>
      <c r="BH17" s="102"/>
      <c r="BQ17" s="103"/>
    </row>
    <row r="18" spans="3:69" x14ac:dyDescent="0.3">
      <c r="C18" s="87" t="str" cm="1">
        <f t="array" ref="C18">IF(C17=-1,-1,
  IF(C17&lt;Einkommen_Max_Row,C17+1,
   IF(C17=Einkommen_Max_Row,Einkommen_Total_Row,
    IF(C17=Einkommen_Total_Row,"/1",
     IF(C17="/1",Fixkosten_Header_Row,
      IF(C17&lt;Fixkosten_Max_Row,C17+1,
       IF(C17=Fixkosten_Max_Row,Fixkosten_Total_Row,
        IF(C17=Fixkosten_Total_Row,"/2",
         IF(C17="/2",Variablekosten_Header_Row,
          IF(C17&lt;Variablekosten_Max_Row,C17+1,
           IF(C17=Variablekosten_Max_Row,Variablekosten_Total_row,
            IF(C17=Variablekosten_Total_row,"/3",
             IF(C17="/3",Investment_Header_Row,
              IF(C17&lt;Investment_Max_Row,C17+1,
               IF(C17=Investment_Max_Row,Investment_Total_Row,-1)))))))))))))))</f>
        <v>/1</v>
      </c>
      <c r="D18" s="88">
        <f t="shared" si="0"/>
        <v>-1</v>
      </c>
      <c r="E18" s="87" cm="1">
        <f t="array" ref="E18">1*OR(row_id=Einkommen_Header_Row,row_id=Fixkosten_Header_Row,row_id=Variablekosten_Header_Row,row_id=Investment_Header_Row)</f>
        <v>0</v>
      </c>
      <c r="F18" s="86">
        <f t="shared" si="1"/>
        <v>0</v>
      </c>
      <c r="G18" s="86" cm="1">
        <f t="array" ref="G18">1*OR(row_id=Einkommen_Total_Row,row_id=Fixkosten_Total_Row,row_id=Variablekosten_Total_row,row_id=Investment_Total_Row)</f>
        <v>0</v>
      </c>
      <c r="H18" s="86">
        <f t="shared" si="2"/>
        <v>1</v>
      </c>
      <c r="I18" s="87" t="str" cm="1">
        <f t="array" ref="I18">IFERROR(INDEX('Budget Planning'!$C:$C,header_row_id),"")</f>
        <v/>
      </c>
      <c r="J18" s="86" t="str" cm="1">
        <f t="array" ref="J18">IFERROR(INDEX('Budget Planning'!$C:$C,row_id),"")</f>
        <v/>
      </c>
      <c r="K18" s="89" t="str" cm="1">
        <f t="array" ref="K18">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8" s="90" t="str" cm="1">
        <f t="array" ref="L18">IF(OR(is_header,is_empty),"",
INDEX('Budget Planning'!$E:$FA,row_id,
MATCH(IF(selected_period="Jahresübersicht",selected_year,DATE(selected_year,selected_period,1)),'Budget Planning'!$E$9:$FA$9,0)))</f>
        <v/>
      </c>
      <c r="M18" s="91" t="str" cm="1">
        <f t="array" ref="M1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8" s="92" t="str" cm="1">
        <f t="array" ref="N1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8" s="91" t="str">
        <f t="shared" si="3"/>
        <v/>
      </c>
      <c r="P18" s="6" t="str">
        <f t="shared" ca="1" si="4"/>
        <v/>
      </c>
      <c r="Q18" s="6" t="str">
        <f t="shared" si="5"/>
        <v/>
      </c>
      <c r="R18" s="92" t="str">
        <f t="shared" ca="1" si="6"/>
        <v/>
      </c>
      <c r="S18" s="91" t="str">
        <f t="shared" si="7"/>
        <v/>
      </c>
      <c r="T18" s="6" t="str">
        <f t="shared" si="8"/>
        <v/>
      </c>
      <c r="U18" s="6" t="str">
        <f t="shared" ca="1" si="9"/>
        <v/>
      </c>
      <c r="V18" s="6" t="str">
        <f t="shared" si="10"/>
        <v/>
      </c>
      <c r="W18" s="6" t="str">
        <f t="shared" ca="1" si="11"/>
        <v/>
      </c>
      <c r="X18" s="93" t="str">
        <f t="shared" si="12"/>
        <v>/1</v>
      </c>
      <c r="Y18" s="86" t="str">
        <f t="shared" si="13"/>
        <v/>
      </c>
      <c r="Z18" s="95" t="str">
        <f t="shared" si="14"/>
        <v/>
      </c>
      <c r="AA18" s="95" t="str">
        <f t="shared" si="15"/>
        <v/>
      </c>
      <c r="AB18" s="94" t="str" cm="1">
        <f t="array" ref="AB18">IF(is_empty,"",IF(is_header,"% Compl.", IFERROR(out_tracked/out_budget,"-")))</f>
        <v/>
      </c>
      <c r="AC18" s="95" t="str" cm="1">
        <f t="array" ref="AC18">IF(is_empty,"", IF(is_header, "Remaining", IF(out_budget - out_tracked &gt; 0, out_budget - out_tracked,0)))</f>
        <v/>
      </c>
      <c r="AD18" s="95" t="str">
        <f t="shared" si="16"/>
        <v/>
      </c>
      <c r="AF18" s="102"/>
      <c r="AI18" s="116" t="e">
        <f ca="1">Calculations!D36</f>
        <v>#N/A</v>
      </c>
      <c r="AJ18" s="117" t="e">
        <f ca="1">Calculations!E36</f>
        <v>#N/A</v>
      </c>
      <c r="AK18" s="103"/>
      <c r="AM18" s="102"/>
      <c r="AP18" s="116" t="e">
        <f ca="1">Calculations!H36</f>
        <v>#N/A</v>
      </c>
      <c r="AQ18" s="117" t="e">
        <f ca="1">Calculations!I36</f>
        <v>#N/A</v>
      </c>
      <c r="AR18" s="103"/>
      <c r="AT18" s="102"/>
      <c r="BF18" s="103"/>
      <c r="BH18" s="102"/>
      <c r="BQ18" s="103"/>
    </row>
    <row r="19" spans="3:69" x14ac:dyDescent="0.3">
      <c r="C19" s="87" cm="1">
        <f t="array" ref="C19">IF(C18=-1,-1,
  IF(C18&lt;Einkommen_Max_Row,C18+1,
   IF(C18=Einkommen_Max_Row,Einkommen_Total_Row,
    IF(C18=Einkommen_Total_Row,"/1",
     IF(C18="/1",Fixkosten_Header_Row,
      IF(C18&lt;Fixkosten_Max_Row,C18+1,
       IF(C18=Fixkosten_Max_Row,Fixkosten_Total_Row,
        IF(C18=Fixkosten_Total_Row,"/2",
         IF(C18="/2",Variablekosten_Header_Row,
          IF(C18&lt;Variablekosten_Max_Row,C18+1,
           IF(C18=Variablekosten_Max_Row,Variablekosten_Total_row,
            IF(C18=Variablekosten_Total_row,"/3",
             IF(C18="/3",Investment_Header_Row,
              IF(C18&lt;Investment_Max_Row,C18+1,
               IF(C18=Investment_Max_Row,Investment_Total_Row,-1)))))))))))))))</f>
        <v>22</v>
      </c>
      <c r="D19" s="88">
        <f t="shared" si="0"/>
        <v>22</v>
      </c>
      <c r="E19" s="87" cm="1">
        <f t="array" ref="E19">1*OR(row_id=Einkommen_Header_Row,row_id=Fixkosten_Header_Row,row_id=Variablekosten_Header_Row,row_id=Investment_Header_Row)</f>
        <v>1</v>
      </c>
      <c r="F19" s="86">
        <f t="shared" si="1"/>
        <v>0</v>
      </c>
      <c r="G19" s="86" cm="1">
        <f t="array" ref="G19">1*OR(row_id=Einkommen_Total_Row,row_id=Fixkosten_Total_Row,row_id=Variablekosten_Total_row,row_id=Investment_Total_Row)</f>
        <v>0</v>
      </c>
      <c r="H19" s="86">
        <f t="shared" si="2"/>
        <v>0</v>
      </c>
      <c r="I19" s="87" t="str" cm="1">
        <f t="array" ref="I19">IFERROR(INDEX('Budget Planning'!$C:$C,header_row_id),"")</f>
        <v>Fixkosten</v>
      </c>
      <c r="J19" s="86" t="str" cm="1">
        <f t="array" ref="J19">IFERROR(INDEX('Budget Planning'!$C:$C,row_id),"")</f>
        <v>Fixkosten</v>
      </c>
      <c r="K19" s="89" t="str" cm="1">
        <f t="array" ref="K1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9" s="90" t="str" cm="1">
        <f t="array" ref="L19">IF(OR(is_header,is_empty),"",
INDEX('Budget Planning'!$E:$FA,row_id,
MATCH(IF(selected_period="Jahresübersicht",selected_year,DATE(selected_year,selected_period,1)),'Budget Planning'!$E$9:$FA$9,0)))</f>
        <v/>
      </c>
      <c r="M19" s="91" t="str" cm="1">
        <f t="array" ref="M1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19" s="92" t="str" cm="1">
        <f t="array" ref="N1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19" s="91" t="str">
        <f t="shared" si="3"/>
        <v/>
      </c>
      <c r="P19" s="6" t="str">
        <f t="shared" ca="1" si="4"/>
        <v/>
      </c>
      <c r="Q19" s="6" t="str">
        <f t="shared" si="5"/>
        <v/>
      </c>
      <c r="R19" s="92" t="str">
        <f t="shared" ca="1" si="6"/>
        <v/>
      </c>
      <c r="S19" s="91" t="str">
        <f t="shared" si="7"/>
        <v/>
      </c>
      <c r="T19" s="6" t="str">
        <f t="shared" si="8"/>
        <v/>
      </c>
      <c r="U19" s="6" t="str">
        <f t="shared" ca="1" si="9"/>
        <v/>
      </c>
      <c r="V19" s="6" t="str">
        <f t="shared" si="10"/>
        <v/>
      </c>
      <c r="W19" s="6" t="str">
        <f t="shared" ca="1" si="11"/>
        <v/>
      </c>
      <c r="X19" s="93">
        <f t="shared" si="12"/>
        <v>22</v>
      </c>
      <c r="Y19" s="86" t="str">
        <f t="shared" ca="1" si="13"/>
        <v>Fixkosten</v>
      </c>
      <c r="Z19" s="95" t="str">
        <f t="shared" si="14"/>
        <v>Tracked</v>
      </c>
      <c r="AA19" s="95" t="str">
        <f t="shared" si="15"/>
        <v>Budget</v>
      </c>
      <c r="AB19" s="94" t="str" cm="1">
        <f t="array" ref="AB19">IF(is_empty,"",IF(is_header,"% Compl.", IFERROR(out_tracked/out_budget,"-")))</f>
        <v>% Compl.</v>
      </c>
      <c r="AC19" s="95" t="str" cm="1">
        <f t="array" ref="AC19">IF(is_empty,"", IF(is_header, "Remaining", IF(out_budget - out_tracked &gt; 0, out_budget - out_tracked,0)))</f>
        <v>Remaining</v>
      </c>
      <c r="AD19" s="95" t="str">
        <f t="shared" si="16"/>
        <v>Excess</v>
      </c>
      <c r="AF19" s="102"/>
      <c r="AI19" s="116" t="str">
        <f>Calculations!D37</f>
        <v/>
      </c>
      <c r="AJ19" s="117" t="str">
        <f>Calculations!E37</f>
        <v/>
      </c>
      <c r="AK19" s="103"/>
      <c r="AM19" s="102"/>
      <c r="AP19" s="116" t="e">
        <f ca="1">Calculations!H37</f>
        <v>#N/A</v>
      </c>
      <c r="AQ19" s="117" t="e">
        <f ca="1">Calculations!I37</f>
        <v>#N/A</v>
      </c>
      <c r="AR19" s="103"/>
      <c r="AT19" s="102"/>
      <c r="BF19" s="103"/>
      <c r="BH19" s="102"/>
      <c r="BQ19" s="103"/>
    </row>
    <row r="20" spans="3:69" x14ac:dyDescent="0.3">
      <c r="C20" s="87" cm="1">
        <f t="array" ref="C20">IF(C19=-1,-1,
  IF(C19&lt;Einkommen_Max_Row,C19+1,
   IF(C19=Einkommen_Max_Row,Einkommen_Total_Row,
    IF(C19=Einkommen_Total_Row,"/1",
     IF(C19="/1",Fixkosten_Header_Row,
      IF(C19&lt;Fixkosten_Max_Row,C19+1,
       IF(C19=Fixkosten_Max_Row,Fixkosten_Total_Row,
        IF(C19=Fixkosten_Total_Row,"/2",
         IF(C19="/2",Variablekosten_Header_Row,
          IF(C19&lt;Variablekosten_Max_Row,C19+1,
           IF(C19=Variablekosten_Max_Row,Variablekosten_Total_row,
            IF(C19=Variablekosten_Total_row,"/3",
             IF(C19="/3",Investment_Header_Row,
              IF(C19&lt;Investment_Max_Row,C19+1,
               IF(C19=Investment_Max_Row,Investment_Total_Row,-1)))))))))))))))</f>
        <v>23</v>
      </c>
      <c r="D20" s="88">
        <f t="shared" si="0"/>
        <v>22</v>
      </c>
      <c r="E20" s="87" cm="1">
        <f t="array" ref="E20">1*OR(row_id=Einkommen_Header_Row,row_id=Fixkosten_Header_Row,row_id=Variablekosten_Header_Row,row_id=Investment_Header_Row)</f>
        <v>0</v>
      </c>
      <c r="F20" s="86">
        <f t="shared" si="1"/>
        <v>1</v>
      </c>
      <c r="G20" s="86" cm="1">
        <f t="array" ref="G20">1*OR(row_id=Einkommen_Total_Row,row_id=Fixkosten_Total_Row,row_id=Variablekosten_Total_row,row_id=Investment_Total_Row)</f>
        <v>0</v>
      </c>
      <c r="H20" s="86">
        <f t="shared" si="2"/>
        <v>0</v>
      </c>
      <c r="I20" s="87" t="str" cm="1">
        <f t="array" ref="I20">IFERROR(INDEX('Budget Planning'!$C:$C,header_row_id),"")</f>
        <v>Fixkosten</v>
      </c>
      <c r="J20" s="86" t="str" cm="1">
        <f t="array" ref="J20">IFERROR(INDEX('Budget Planning'!$C:$C,row_id),"")</f>
        <v>Fix 1</v>
      </c>
      <c r="K20" s="89" cm="1">
        <f t="array" aca="1" ref="K20"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0" s="90" t="e" cm="1">
        <f t="array" aca="1" ref="L20" ca="1">IF(OR(is_header,is_empty),"",
INDEX('Budget Planning'!$E:$FA,row_id,
MATCH(IF(selected_period="Jahresübersicht",selected_year,DATE(selected_year,selected_period,1)),'Budget Planning'!$E$9:$FA$9,0)))</f>
        <v>#N/A</v>
      </c>
      <c r="M20" s="91" cm="1">
        <f t="array" ref="M2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0" s="92" cm="1">
        <f t="array" ref="N2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0" s="91" t="str">
        <f t="shared" si="3"/>
        <v>$K$20:$K$23</v>
      </c>
      <c r="P20" s="6">
        <f t="shared" ca="1" si="4"/>
        <v>1</v>
      </c>
      <c r="Q20" s="6" t="str">
        <f t="shared" si="5"/>
        <v>$L$20:$L$23</v>
      </c>
      <c r="R20" s="92" t="e">
        <f t="shared" ca="1" si="6"/>
        <v>#N/A</v>
      </c>
      <c r="S20" s="91" t="e">
        <f t="shared" ca="1" si="7"/>
        <v>#N/A</v>
      </c>
      <c r="T20" s="6" t="str">
        <f t="shared" si="8"/>
        <v>$S$20:$S$23</v>
      </c>
      <c r="U20" s="6" t="e">
        <f t="shared" ca="1" si="9"/>
        <v>#N/A</v>
      </c>
      <c r="V20" s="6" t="str">
        <f t="shared" si="10"/>
        <v>$U$20:$U$20</v>
      </c>
      <c r="W20" s="6" t="e">
        <f t="shared" ca="1" si="11"/>
        <v>#N/A</v>
      </c>
      <c r="X20" s="93" t="e">
        <f t="shared" ca="1" si="12"/>
        <v>#N/A</v>
      </c>
      <c r="Y20" s="86" t="e">
        <f t="shared" ca="1" si="13"/>
        <v>#N/A</v>
      </c>
      <c r="Z20" s="95" t="e">
        <f t="shared" ca="1" si="14"/>
        <v>#N/A</v>
      </c>
      <c r="AA20" s="95" t="e">
        <f t="shared" ca="1" si="15"/>
        <v>#N/A</v>
      </c>
      <c r="AB20" s="94" t="str" cm="1">
        <f t="array" aca="1" ref="AB20" ca="1">IF(is_empty,"",IF(is_header,"% Compl.", IFERROR(out_tracked/out_budget,"-")))</f>
        <v>-</v>
      </c>
      <c r="AC20" s="95" t="e" cm="1">
        <f t="array" aca="1" ref="AC20" ca="1">IF(is_empty,"", IF(is_header, "Remaining", IF(out_budget - out_tracked &gt; 0, out_budget - out_tracked,0)))</f>
        <v>#N/A</v>
      </c>
      <c r="AD20" s="95" t="e">
        <f t="shared" ca="1" si="16"/>
        <v>#N/A</v>
      </c>
      <c r="AF20" s="102"/>
      <c r="AI20" s="116" t="str">
        <f>Calculations!D38</f>
        <v/>
      </c>
      <c r="AJ20" s="117" t="str">
        <f>Calculations!E38</f>
        <v/>
      </c>
      <c r="AK20" s="103"/>
      <c r="AM20" s="102"/>
      <c r="AP20" s="116" t="str">
        <f>Calculations!H38</f>
        <v/>
      </c>
      <c r="AQ20" s="117" t="str">
        <f>Calculations!I38</f>
        <v/>
      </c>
      <c r="AR20" s="103"/>
      <c r="AT20" s="102"/>
      <c r="BF20" s="103"/>
      <c r="BH20" s="102"/>
      <c r="BQ20" s="103"/>
    </row>
    <row r="21" spans="3:69" x14ac:dyDescent="0.3">
      <c r="C21" s="87" cm="1">
        <f t="array" ref="C21">IF(C20=-1,-1,
  IF(C20&lt;Einkommen_Max_Row,C20+1,
   IF(C20=Einkommen_Max_Row,Einkommen_Total_Row,
    IF(C20=Einkommen_Total_Row,"/1",
     IF(C20="/1",Fixkosten_Header_Row,
      IF(C20&lt;Fixkosten_Max_Row,C20+1,
       IF(C20=Fixkosten_Max_Row,Fixkosten_Total_Row,
        IF(C20=Fixkosten_Total_Row,"/2",
         IF(C20="/2",Variablekosten_Header_Row,
          IF(C20&lt;Variablekosten_Max_Row,C20+1,
           IF(C20=Variablekosten_Max_Row,Variablekosten_Total_row,
            IF(C20=Variablekosten_Total_row,"/3",
             IF(C20="/3",Investment_Header_Row,
              IF(C20&lt;Investment_Max_Row,C20+1,
               IF(C20=Investment_Max_Row,Investment_Total_Row,-1)))))))))))))))</f>
        <v>24</v>
      </c>
      <c r="D21" s="88">
        <f t="shared" si="0"/>
        <v>22</v>
      </c>
      <c r="E21" s="87" cm="1">
        <f t="array" ref="E21">1*OR(row_id=Einkommen_Header_Row,row_id=Fixkosten_Header_Row,row_id=Variablekosten_Header_Row,row_id=Investment_Header_Row)</f>
        <v>0</v>
      </c>
      <c r="F21" s="86">
        <f t="shared" si="1"/>
        <v>1</v>
      </c>
      <c r="G21" s="86" cm="1">
        <f t="array" ref="G21">1*OR(row_id=Einkommen_Total_Row,row_id=Fixkosten_Total_Row,row_id=Variablekosten_Total_row,row_id=Investment_Total_Row)</f>
        <v>0</v>
      </c>
      <c r="H21" s="86">
        <f t="shared" si="2"/>
        <v>0</v>
      </c>
      <c r="I21" s="87" t="str" cm="1">
        <f t="array" ref="I21">IFERROR(INDEX('Budget Planning'!$C:$C,header_row_id),"")</f>
        <v>Fixkosten</v>
      </c>
      <c r="J21" s="86" t="str" cm="1">
        <f t="array" ref="J21">IFERROR(INDEX('Budget Planning'!$C:$C,row_id),"")</f>
        <v>Fix 2</v>
      </c>
      <c r="K21" s="89" cm="1">
        <f t="array" aca="1" ref="K21"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1" s="90" t="e" cm="1">
        <f t="array" aca="1" ref="L21" ca="1">IF(OR(is_header,is_empty),"",
INDEX('Budget Planning'!$E:$FA,row_id,
MATCH(IF(selected_period="Jahresübersicht",selected_year,DATE(selected_year,selected_period,1)),'Budget Planning'!$E$9:$FA$9,0)))</f>
        <v>#N/A</v>
      </c>
      <c r="M21" s="91" cm="1">
        <f t="array" ref="M2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1" s="92" cm="1">
        <f t="array" ref="N2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1" s="91" t="str">
        <f t="shared" si="3"/>
        <v>$K$20:$K$23</v>
      </c>
      <c r="P21" s="6">
        <f t="shared" ca="1" si="4"/>
        <v>1</v>
      </c>
      <c r="Q21" s="6" t="str">
        <f t="shared" si="5"/>
        <v>$L$20:$L$23</v>
      </c>
      <c r="R21" s="92" t="e">
        <f t="shared" ca="1" si="6"/>
        <v>#N/A</v>
      </c>
      <c r="S21" s="91" t="e">
        <f t="shared" ca="1" si="7"/>
        <v>#N/A</v>
      </c>
      <c r="T21" s="6" t="str">
        <f t="shared" si="8"/>
        <v>$S$20:$S$23</v>
      </c>
      <c r="U21" s="6" t="e">
        <f t="shared" ca="1" si="9"/>
        <v>#N/A</v>
      </c>
      <c r="V21" s="6" t="str">
        <f t="shared" si="10"/>
        <v>$U$20:$U$21</v>
      </c>
      <c r="W21" s="6" t="e">
        <f t="shared" ca="1" si="11"/>
        <v>#N/A</v>
      </c>
      <c r="X21" s="93" t="e">
        <f t="shared" ca="1" si="12"/>
        <v>#N/A</v>
      </c>
      <c r="Y21" s="86" t="e">
        <f t="shared" ca="1" si="13"/>
        <v>#N/A</v>
      </c>
      <c r="Z21" s="95" t="e">
        <f t="shared" ca="1" si="14"/>
        <v>#N/A</v>
      </c>
      <c r="AA21" s="95" t="e">
        <f t="shared" ca="1" si="15"/>
        <v>#N/A</v>
      </c>
      <c r="AB21" s="94" t="str" cm="1">
        <f t="array" aca="1" ref="AB21" ca="1">IF(is_empty,"",IF(is_header,"% Compl.", IFERROR(out_tracked/out_budget,"-")))</f>
        <v>-</v>
      </c>
      <c r="AC21" s="95" t="e" cm="1">
        <f t="array" aca="1" ref="AC21" ca="1">IF(is_empty,"", IF(is_header, "Remaining", IF(out_budget - out_tracked &gt; 0, out_budget - out_tracked,0)))</f>
        <v>#N/A</v>
      </c>
      <c r="AD21" s="95" t="e">
        <f t="shared" ca="1" si="16"/>
        <v>#N/A</v>
      </c>
      <c r="AF21" s="102"/>
      <c r="AI21" s="116" t="e">
        <f ca="1">Calculations!D39</f>
        <v>#N/A</v>
      </c>
      <c r="AJ21" s="117" t="e">
        <f ca="1">Calculations!E39</f>
        <v>#N/A</v>
      </c>
      <c r="AK21" s="103"/>
      <c r="AM21" s="102"/>
      <c r="AP21" s="116" t="str">
        <f>Calculations!H39</f>
        <v/>
      </c>
      <c r="AQ21" s="117" t="str">
        <f>Calculations!I39</f>
        <v/>
      </c>
      <c r="AR21" s="103"/>
      <c r="AT21" s="102"/>
      <c r="BF21" s="103"/>
      <c r="BH21" s="102"/>
      <c r="BQ21" s="103"/>
    </row>
    <row r="22" spans="3:69" x14ac:dyDescent="0.3">
      <c r="C22" s="87" cm="1">
        <f t="array" ref="C22">IF(C21=-1,-1,
  IF(C21&lt;Einkommen_Max_Row,C21+1,
   IF(C21=Einkommen_Max_Row,Einkommen_Total_Row,
    IF(C21=Einkommen_Total_Row,"/1",
     IF(C21="/1",Fixkosten_Header_Row,
      IF(C21&lt;Fixkosten_Max_Row,C21+1,
       IF(C21=Fixkosten_Max_Row,Fixkosten_Total_Row,
        IF(C21=Fixkosten_Total_Row,"/2",
         IF(C21="/2",Variablekosten_Header_Row,
          IF(C21&lt;Variablekosten_Max_Row,C21+1,
           IF(C21=Variablekosten_Max_Row,Variablekosten_Total_row,
            IF(C21=Variablekosten_Total_row,"/3",
             IF(C21="/3",Investment_Header_Row,
              IF(C21&lt;Investment_Max_Row,C21+1,
               IF(C21=Investment_Max_Row,Investment_Total_Row,-1)))))))))))))))</f>
        <v>25</v>
      </c>
      <c r="D22" s="88">
        <f t="shared" si="0"/>
        <v>22</v>
      </c>
      <c r="E22" s="87" cm="1">
        <f t="array" ref="E22">1*OR(row_id=Einkommen_Header_Row,row_id=Fixkosten_Header_Row,row_id=Variablekosten_Header_Row,row_id=Investment_Header_Row)</f>
        <v>0</v>
      </c>
      <c r="F22" s="86">
        <f t="shared" si="1"/>
        <v>1</v>
      </c>
      <c r="G22" s="86" cm="1">
        <f t="array" ref="G22">1*OR(row_id=Einkommen_Total_Row,row_id=Fixkosten_Total_Row,row_id=Variablekosten_Total_row,row_id=Investment_Total_Row)</f>
        <v>0</v>
      </c>
      <c r="H22" s="86">
        <f t="shared" si="2"/>
        <v>0</v>
      </c>
      <c r="I22" s="87" t="str" cm="1">
        <f t="array" ref="I22">IFERROR(INDEX('Budget Planning'!$C:$C,header_row_id),"")</f>
        <v>Fixkosten</v>
      </c>
      <c r="J22" s="86" t="str" cm="1">
        <f t="array" ref="J22">IFERROR(INDEX('Budget Planning'!$C:$C,row_id),"")</f>
        <v>Fix 3</v>
      </c>
      <c r="K22" s="89" cm="1">
        <f t="array" aca="1" ref="K22"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2" s="90" t="e" cm="1">
        <f t="array" aca="1" ref="L22" ca="1">IF(OR(is_header,is_empty),"",
INDEX('Budget Planning'!$E:$FA,row_id,
MATCH(IF(selected_period="Jahresübersicht",selected_year,DATE(selected_year,selected_period,1)),'Budget Planning'!$E$9:$FA$9,0)))</f>
        <v>#N/A</v>
      </c>
      <c r="M22" s="91" cm="1">
        <f t="array" ref="M2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2" s="92" cm="1">
        <f t="array" ref="N2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2" s="91" t="str">
        <f t="shared" si="3"/>
        <v>$K$20:$K$23</v>
      </c>
      <c r="P22" s="6">
        <f t="shared" ca="1" si="4"/>
        <v>1</v>
      </c>
      <c r="Q22" s="6" t="str">
        <f t="shared" si="5"/>
        <v>$L$20:$L$23</v>
      </c>
      <c r="R22" s="92" t="e">
        <f t="shared" ca="1" si="6"/>
        <v>#N/A</v>
      </c>
      <c r="S22" s="91" t="e">
        <f t="shared" ca="1" si="7"/>
        <v>#N/A</v>
      </c>
      <c r="T22" s="6" t="str">
        <f t="shared" si="8"/>
        <v>$S$20:$S$23</v>
      </c>
      <c r="U22" s="6" t="e">
        <f t="shared" ca="1" si="9"/>
        <v>#N/A</v>
      </c>
      <c r="V22" s="6" t="str">
        <f t="shared" si="10"/>
        <v>$U$20:$U$22</v>
      </c>
      <c r="W22" s="6" t="e">
        <f t="shared" ca="1" si="11"/>
        <v>#N/A</v>
      </c>
      <c r="X22" s="93" t="e">
        <f t="shared" ca="1" si="12"/>
        <v>#N/A</v>
      </c>
      <c r="Y22" s="86" t="e">
        <f t="shared" ca="1" si="13"/>
        <v>#N/A</v>
      </c>
      <c r="Z22" s="95" t="e">
        <f t="shared" ca="1" si="14"/>
        <v>#N/A</v>
      </c>
      <c r="AA22" s="95" t="e">
        <f t="shared" ca="1" si="15"/>
        <v>#N/A</v>
      </c>
      <c r="AB22" s="94" t="str" cm="1">
        <f t="array" aca="1" ref="AB22" ca="1">IF(is_empty,"",IF(is_header,"% Compl.", IFERROR(out_tracked/out_budget,"-")))</f>
        <v>-</v>
      </c>
      <c r="AC22" s="95" t="e" cm="1">
        <f t="array" aca="1" ref="AC22" ca="1">IF(is_empty,"", IF(is_header, "Remaining", IF(out_budget - out_tracked &gt; 0, out_budget - out_tracked,0)))</f>
        <v>#N/A</v>
      </c>
      <c r="AD22" s="95" t="e">
        <f t="shared" ca="1" si="16"/>
        <v>#N/A</v>
      </c>
      <c r="AF22" s="102"/>
      <c r="AI22" s="118" t="str">
        <f>Calculations!D40</f>
        <v>Total</v>
      </c>
      <c r="AJ22" s="119">
        <f ca="1">Calculations!E40</f>
        <v>0</v>
      </c>
      <c r="AK22" s="103"/>
      <c r="AM22" s="102"/>
      <c r="AP22" s="118" t="str">
        <f>Calculations!H40</f>
        <v>Total</v>
      </c>
      <c r="AQ22" s="119">
        <f ca="1">Calculations!I40</f>
        <v>0</v>
      </c>
      <c r="AR22" s="103"/>
      <c r="AT22" s="102"/>
      <c r="BF22" s="103"/>
      <c r="BH22" s="102"/>
      <c r="BQ22" s="103"/>
    </row>
    <row r="23" spans="3:69" x14ac:dyDescent="0.3">
      <c r="C23" s="87" cm="1">
        <f t="array" ref="C23">IF(C22=-1,-1,
  IF(C22&lt;Einkommen_Max_Row,C22+1,
   IF(C22=Einkommen_Max_Row,Einkommen_Total_Row,
    IF(C22=Einkommen_Total_Row,"/1",
     IF(C22="/1",Fixkosten_Header_Row,
      IF(C22&lt;Fixkosten_Max_Row,C22+1,
       IF(C22=Fixkosten_Max_Row,Fixkosten_Total_Row,
        IF(C22=Fixkosten_Total_Row,"/2",
         IF(C22="/2",Variablekosten_Header_Row,
          IF(C22&lt;Variablekosten_Max_Row,C22+1,
           IF(C22=Variablekosten_Max_Row,Variablekosten_Total_row,
            IF(C22=Variablekosten_Total_row,"/3",
             IF(C22="/3",Investment_Header_Row,
              IF(C22&lt;Investment_Max_Row,C22+1,
               IF(C22=Investment_Max_Row,Investment_Total_Row,-1)))))))))))))))</f>
        <v>26</v>
      </c>
      <c r="D23" s="88">
        <f t="shared" si="0"/>
        <v>22</v>
      </c>
      <c r="E23" s="87" cm="1">
        <f t="array" ref="E23">1*OR(row_id=Einkommen_Header_Row,row_id=Fixkosten_Header_Row,row_id=Variablekosten_Header_Row,row_id=Investment_Header_Row)</f>
        <v>0</v>
      </c>
      <c r="F23" s="86">
        <f t="shared" si="1"/>
        <v>1</v>
      </c>
      <c r="G23" s="86" cm="1">
        <f t="array" ref="G23">1*OR(row_id=Einkommen_Total_Row,row_id=Fixkosten_Total_Row,row_id=Variablekosten_Total_row,row_id=Investment_Total_Row)</f>
        <v>0</v>
      </c>
      <c r="H23" s="86">
        <f t="shared" si="2"/>
        <v>0</v>
      </c>
      <c r="I23" s="87" t="str" cm="1">
        <f t="array" ref="I23">IFERROR(INDEX('Budget Planning'!$C:$C,header_row_id),"")</f>
        <v>Fixkosten</v>
      </c>
      <c r="J23" s="86" t="str" cm="1">
        <f t="array" ref="J23">IFERROR(INDEX('Budget Planning'!$C:$C,row_id),"")</f>
        <v>Fix 4</v>
      </c>
      <c r="K23" s="89" cm="1">
        <f t="array" aca="1" ref="K23"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3" s="90" t="e" cm="1">
        <f t="array" aca="1" ref="L23" ca="1">IF(OR(is_header,is_empty),"",
INDEX('Budget Planning'!$E:$FA,row_id,
MATCH(IF(selected_period="Jahresübersicht",selected_year,DATE(selected_year,selected_period,1)),'Budget Planning'!$E$9:$FA$9,0)))</f>
        <v>#N/A</v>
      </c>
      <c r="M23" s="91" cm="1">
        <f t="array" ref="M2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20</v>
      </c>
      <c r="N23" s="92" cm="1">
        <f t="array" ref="N2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23</v>
      </c>
      <c r="O23" s="91" t="str">
        <f t="shared" si="3"/>
        <v>$K$20:$K$23</v>
      </c>
      <c r="P23" s="6">
        <f t="shared" ca="1" si="4"/>
        <v>1</v>
      </c>
      <c r="Q23" s="6" t="str">
        <f t="shared" si="5"/>
        <v>$L$20:$L$23</v>
      </c>
      <c r="R23" s="92" t="e">
        <f t="shared" ca="1" si="6"/>
        <v>#N/A</v>
      </c>
      <c r="S23" s="91" t="e">
        <f t="shared" ca="1" si="7"/>
        <v>#N/A</v>
      </c>
      <c r="T23" s="6" t="str">
        <f t="shared" si="8"/>
        <v>$S$20:$S$23</v>
      </c>
      <c r="U23" s="6" t="e">
        <f t="shared" ca="1" si="9"/>
        <v>#N/A</v>
      </c>
      <c r="V23" s="6" t="str">
        <f t="shared" si="10"/>
        <v>$U$20:$U$23</v>
      </c>
      <c r="W23" s="6" t="e">
        <f t="shared" ca="1" si="11"/>
        <v>#N/A</v>
      </c>
      <c r="X23" s="93" t="e">
        <f t="shared" ca="1" si="12"/>
        <v>#N/A</v>
      </c>
      <c r="Y23" s="86" t="e">
        <f t="shared" ca="1" si="13"/>
        <v>#N/A</v>
      </c>
      <c r="Z23" s="95" t="e">
        <f t="shared" ca="1" si="14"/>
        <v>#N/A</v>
      </c>
      <c r="AA23" s="95" t="e">
        <f t="shared" ca="1" si="15"/>
        <v>#N/A</v>
      </c>
      <c r="AB23" s="94" t="str" cm="1">
        <f t="array" aca="1" ref="AB23" ca="1">IF(is_empty,"",IF(is_header,"% Compl.", IFERROR(out_tracked/out_budget,"-")))</f>
        <v>-</v>
      </c>
      <c r="AC23" s="95" t="e" cm="1">
        <f t="array" aca="1" ref="AC23" ca="1">IF(is_empty,"", IF(is_header, "Remaining", IF(out_budget - out_tracked &gt; 0, out_budget - out_tracked,0)))</f>
        <v>#N/A</v>
      </c>
      <c r="AD23" s="95" t="e">
        <f t="shared" ca="1" si="16"/>
        <v>#N/A</v>
      </c>
      <c r="AF23" s="102"/>
      <c r="AK23" s="103"/>
      <c r="AM23" s="102"/>
      <c r="AR23" s="103"/>
      <c r="AT23" s="102"/>
      <c r="BF23" s="103"/>
      <c r="BH23" s="102"/>
      <c r="BQ23" s="103"/>
    </row>
    <row r="24" spans="3:69" x14ac:dyDescent="0.3">
      <c r="C24" s="87" cm="1">
        <f t="array" ref="C24">IF(C23=-1,-1,
  IF(C23&lt;Einkommen_Max_Row,C23+1,
   IF(C23=Einkommen_Max_Row,Einkommen_Total_Row,
    IF(C23=Einkommen_Total_Row,"/1",
     IF(C23="/1",Fixkosten_Header_Row,
      IF(C23&lt;Fixkosten_Max_Row,C23+1,
       IF(C23=Fixkosten_Max_Row,Fixkosten_Total_Row,
        IF(C23=Fixkosten_Total_Row,"/2",
         IF(C23="/2",Variablekosten_Header_Row,
          IF(C23&lt;Variablekosten_Max_Row,C23+1,
           IF(C23=Variablekosten_Max_Row,Variablekosten_Total_row,
            IF(C23=Variablekosten_Total_row,"/3",
             IF(C23="/3",Investment_Header_Row,
              IF(C23&lt;Investment_Max_Row,C23+1,
               IF(C23=Investment_Max_Row,Investment_Total_Row,-1)))))))))))))))</f>
        <v>33</v>
      </c>
      <c r="D24" s="88">
        <f t="shared" si="0"/>
        <v>22</v>
      </c>
      <c r="E24" s="87" cm="1">
        <f t="array" ref="E24">1*OR(row_id=Einkommen_Header_Row,row_id=Fixkosten_Header_Row,row_id=Variablekosten_Header_Row,row_id=Investment_Header_Row)</f>
        <v>0</v>
      </c>
      <c r="F24" s="86">
        <f t="shared" si="1"/>
        <v>0</v>
      </c>
      <c r="G24" s="86" cm="1">
        <f t="array" ref="G24">1*OR(row_id=Einkommen_Total_Row,row_id=Fixkosten_Total_Row,row_id=Variablekosten_Total_row,row_id=Investment_Total_Row)</f>
        <v>1</v>
      </c>
      <c r="H24" s="86">
        <f t="shared" si="2"/>
        <v>0</v>
      </c>
      <c r="I24" s="87" t="str" cm="1">
        <f t="array" ref="I24">IFERROR(INDEX('Budget Planning'!$C:$C,header_row_id),"")</f>
        <v>Fixkosten</v>
      </c>
      <c r="J24" s="86" t="str" cm="1">
        <f t="array" ref="J24">IFERROR(INDEX('Budget Planning'!$C:$C,row_id),"")</f>
        <v>Total</v>
      </c>
      <c r="K24" s="89" cm="1">
        <f t="array" aca="1" ref="K24"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4" s="90" t="e" cm="1">
        <f t="array" aca="1" ref="L24" ca="1">IF(OR(is_header,is_empty),"",
INDEX('Budget Planning'!$E:$FA,row_id,
MATCH(IF(selected_period="Jahresübersicht",selected_year,DATE(selected_year,selected_period,1)),'Budget Planning'!$E$9:$FA$9,0)))</f>
        <v>#N/A</v>
      </c>
      <c r="M24" s="91" t="str" cm="1">
        <f t="array" ref="M2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24" s="92" t="str" cm="1">
        <f t="array" ref="N2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24" s="91" t="str">
        <f t="shared" si="3"/>
        <v/>
      </c>
      <c r="P24" s="6" t="str">
        <f t="shared" ca="1" si="4"/>
        <v/>
      </c>
      <c r="Q24" s="6" t="str">
        <f t="shared" si="5"/>
        <v/>
      </c>
      <c r="R24" s="92" t="str">
        <f t="shared" ca="1" si="6"/>
        <v/>
      </c>
      <c r="S24" s="91" t="str">
        <f t="shared" si="7"/>
        <v/>
      </c>
      <c r="T24" s="6" t="str">
        <f t="shared" si="8"/>
        <v/>
      </c>
      <c r="U24" s="6" t="str">
        <f t="shared" ca="1" si="9"/>
        <v/>
      </c>
      <c r="V24" s="6" t="str">
        <f t="shared" si="10"/>
        <v/>
      </c>
      <c r="W24" s="6" t="str">
        <f t="shared" ca="1" si="11"/>
        <v/>
      </c>
      <c r="X24" s="93">
        <f t="shared" si="12"/>
        <v>33</v>
      </c>
      <c r="Y24" s="86" t="str">
        <f t="shared" ca="1" si="13"/>
        <v>Total</v>
      </c>
      <c r="Z24" s="95">
        <f t="shared" ca="1" si="14"/>
        <v>0</v>
      </c>
      <c r="AA24" s="95" t="e">
        <f t="shared" ca="1" si="15"/>
        <v>#N/A</v>
      </c>
      <c r="AB24" s="94" t="str" cm="1">
        <f t="array" aca="1" ref="AB24" ca="1">IF(is_empty,"",IF(is_header,"% Compl.", IFERROR(out_tracked/out_budget,"-")))</f>
        <v>-</v>
      </c>
      <c r="AC24" s="95" t="e" cm="1">
        <f t="array" aca="1" ref="AC24" ca="1">IF(is_empty,"", IF(is_header, "Remaining", IF(out_budget - out_tracked &gt; 0, out_budget - out_tracked,0)))</f>
        <v>#N/A</v>
      </c>
      <c r="AD24" s="95" t="e">
        <f t="shared" ca="1" si="16"/>
        <v>#N/A</v>
      </c>
      <c r="AF24" s="102"/>
      <c r="AK24" s="103"/>
      <c r="AM24" s="102"/>
      <c r="AR24" s="103"/>
      <c r="AT24" s="102"/>
      <c r="BF24" s="103"/>
      <c r="BH24" s="102"/>
      <c r="BQ24" s="103"/>
    </row>
    <row r="25" spans="3:69" x14ac:dyDescent="0.3">
      <c r="C25" s="87" t="str" cm="1">
        <f t="array" ref="C25">IF(C24=-1,-1,
  IF(C24&lt;Einkommen_Max_Row,C24+1,
   IF(C24=Einkommen_Max_Row,Einkommen_Total_Row,
    IF(C24=Einkommen_Total_Row,"/1",
     IF(C24="/1",Fixkosten_Header_Row,
      IF(C24&lt;Fixkosten_Max_Row,C24+1,
       IF(C24=Fixkosten_Max_Row,Fixkosten_Total_Row,
        IF(C24=Fixkosten_Total_Row,"/2",
         IF(C24="/2",Variablekosten_Header_Row,
          IF(C24&lt;Variablekosten_Max_Row,C24+1,
           IF(C24=Variablekosten_Max_Row,Variablekosten_Total_row,
            IF(C24=Variablekosten_Total_row,"/3",
             IF(C24="/3",Investment_Header_Row,
              IF(C24&lt;Investment_Max_Row,C24+1,
               IF(C24=Investment_Max_Row,Investment_Total_Row,-1)))))))))))))))</f>
        <v>/2</v>
      </c>
      <c r="D25" s="88">
        <f t="shared" si="0"/>
        <v>-1</v>
      </c>
      <c r="E25" s="87" cm="1">
        <f t="array" ref="E25">1*OR(row_id=Einkommen_Header_Row,row_id=Fixkosten_Header_Row,row_id=Variablekosten_Header_Row,row_id=Investment_Header_Row)</f>
        <v>0</v>
      </c>
      <c r="F25" s="86">
        <f t="shared" si="1"/>
        <v>0</v>
      </c>
      <c r="G25" s="86" cm="1">
        <f t="array" ref="G25">1*OR(row_id=Einkommen_Total_Row,row_id=Fixkosten_Total_Row,row_id=Variablekosten_Total_row,row_id=Investment_Total_Row)</f>
        <v>0</v>
      </c>
      <c r="H25" s="86">
        <f t="shared" si="2"/>
        <v>1</v>
      </c>
      <c r="I25" s="87" t="str" cm="1">
        <f t="array" ref="I25">IFERROR(INDEX('Budget Planning'!$C:$C,header_row_id),"")</f>
        <v/>
      </c>
      <c r="J25" s="86" t="str" cm="1">
        <f t="array" ref="J25">IFERROR(INDEX('Budget Planning'!$C:$C,row_id),"")</f>
        <v/>
      </c>
      <c r="K25" s="89" t="str" cm="1">
        <f t="array" ref="K25">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25" s="90" t="str" cm="1">
        <f t="array" ref="L25">IF(OR(is_header,is_empty),"",
INDEX('Budget Planning'!$E:$FA,row_id,
MATCH(IF(selected_period="Jahresübersicht",selected_year,DATE(selected_year,selected_period,1)),'Budget Planning'!$E$9:$FA$9,0)))</f>
        <v/>
      </c>
      <c r="M25" s="91" t="str" cm="1">
        <f t="array" ref="M2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25" s="92" t="str" cm="1">
        <f t="array" ref="N2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25" s="91" t="str">
        <f t="shared" si="3"/>
        <v/>
      </c>
      <c r="P25" s="6" t="str">
        <f t="shared" ca="1" si="4"/>
        <v/>
      </c>
      <c r="Q25" s="6" t="str">
        <f t="shared" si="5"/>
        <v/>
      </c>
      <c r="R25" s="92" t="str">
        <f t="shared" ca="1" si="6"/>
        <v/>
      </c>
      <c r="S25" s="91" t="str">
        <f t="shared" si="7"/>
        <v/>
      </c>
      <c r="T25" s="6" t="str">
        <f t="shared" si="8"/>
        <v/>
      </c>
      <c r="U25" s="6" t="str">
        <f t="shared" ca="1" si="9"/>
        <v/>
      </c>
      <c r="V25" s="6" t="str">
        <f t="shared" si="10"/>
        <v/>
      </c>
      <c r="W25" s="6" t="str">
        <f t="shared" ca="1" si="11"/>
        <v/>
      </c>
      <c r="X25" s="93" t="str">
        <f t="shared" si="12"/>
        <v>/2</v>
      </c>
      <c r="Y25" s="86" t="str">
        <f t="shared" si="13"/>
        <v/>
      </c>
      <c r="Z25" s="95" t="str">
        <f t="shared" si="14"/>
        <v/>
      </c>
      <c r="AA25" s="95" t="str">
        <f t="shared" si="15"/>
        <v/>
      </c>
      <c r="AB25" s="94" t="str" cm="1">
        <f t="array" ref="AB25">IF(is_empty,"",IF(is_header,"% Compl.", IFERROR(out_tracked/out_budget,"-")))</f>
        <v/>
      </c>
      <c r="AC25" s="95" t="str" cm="1">
        <f t="array" ref="AC25">IF(is_empty,"", IF(is_header, "Remaining", IF(out_budget - out_tracked &gt; 0, out_budget - out_tracked,0)))</f>
        <v/>
      </c>
      <c r="AD25" s="95" t="str">
        <f t="shared" si="16"/>
        <v/>
      </c>
      <c r="AF25" s="104"/>
      <c r="AG25" s="105"/>
      <c r="AH25" s="105"/>
      <c r="AI25" s="105"/>
      <c r="AJ25" s="105"/>
      <c r="AK25" s="106"/>
      <c r="AM25" s="104"/>
      <c r="AN25" s="105"/>
      <c r="AO25" s="105"/>
      <c r="AP25" s="105"/>
      <c r="AQ25" s="105"/>
      <c r="AR25" s="106"/>
      <c r="AT25" s="104"/>
      <c r="AU25" s="105"/>
      <c r="AV25" s="105"/>
      <c r="AW25" s="105"/>
      <c r="AX25" s="105"/>
      <c r="AY25" s="105"/>
      <c r="AZ25" s="105"/>
      <c r="BA25" s="105"/>
      <c r="BB25" s="105"/>
      <c r="BC25" s="105"/>
      <c r="BD25" s="105"/>
      <c r="BE25" s="105"/>
      <c r="BF25" s="106"/>
      <c r="BH25" s="104"/>
      <c r="BI25" s="105"/>
      <c r="BJ25" s="105"/>
      <c r="BK25" s="105"/>
      <c r="BL25" s="105"/>
      <c r="BM25" s="105"/>
      <c r="BN25" s="105"/>
      <c r="BO25" s="105"/>
      <c r="BP25" s="105"/>
      <c r="BQ25" s="106"/>
    </row>
    <row r="26" spans="3:69" x14ac:dyDescent="0.3">
      <c r="C26" s="87" cm="1">
        <f t="array" ref="C26">IF(C25=-1,-1,
  IF(C25&lt;Einkommen_Max_Row,C25+1,
   IF(C25=Einkommen_Max_Row,Einkommen_Total_Row,
    IF(C25=Einkommen_Total_Row,"/1",
     IF(C25="/1",Fixkosten_Header_Row,
      IF(C25&lt;Fixkosten_Max_Row,C25+1,
       IF(C25=Fixkosten_Max_Row,Fixkosten_Total_Row,
        IF(C25=Fixkosten_Total_Row,"/2",
         IF(C25="/2",Variablekosten_Header_Row,
          IF(C25&lt;Variablekosten_Max_Row,C25+1,
           IF(C25=Variablekosten_Max_Row,Variablekosten_Total_row,
            IF(C25=Variablekosten_Total_row,"/3",
             IF(C25="/3",Investment_Header_Row,
              IF(C25&lt;Investment_Max_Row,C25+1,
               IF(C25=Investment_Max_Row,Investment_Total_Row,-1)))))))))))))))</f>
        <v>35</v>
      </c>
      <c r="D26" s="88">
        <f t="shared" si="0"/>
        <v>35</v>
      </c>
      <c r="E26" s="87" cm="1">
        <f t="array" ref="E26">1*OR(row_id=Einkommen_Header_Row,row_id=Fixkosten_Header_Row,row_id=Variablekosten_Header_Row,row_id=Investment_Header_Row)</f>
        <v>1</v>
      </c>
      <c r="F26" s="86">
        <f t="shared" si="1"/>
        <v>0</v>
      </c>
      <c r="G26" s="86" cm="1">
        <f t="array" ref="G26">1*OR(row_id=Einkommen_Total_Row,row_id=Fixkosten_Total_Row,row_id=Variablekosten_Total_row,row_id=Investment_Total_Row)</f>
        <v>0</v>
      </c>
      <c r="H26" s="86">
        <f t="shared" si="2"/>
        <v>0</v>
      </c>
      <c r="I26" s="87" t="str" cm="1">
        <f t="array" ref="I26">IFERROR(INDEX('Budget Planning'!$C:$C,header_row_id),"")</f>
        <v>Variablekosten</v>
      </c>
      <c r="J26" s="86" t="str" cm="1">
        <f t="array" ref="J26">IFERROR(INDEX('Budget Planning'!$C:$C,row_id),"")</f>
        <v>Variablekosten</v>
      </c>
      <c r="K26" s="89" t="str" cm="1">
        <f t="array" ref="K26">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26" s="90" t="str" cm="1">
        <f t="array" ref="L26">IF(OR(is_header,is_empty),"",
INDEX('Budget Planning'!$E:$FA,row_id,
MATCH(IF(selected_period="Jahresübersicht",selected_year,DATE(selected_year,selected_period,1)),'Budget Planning'!$E$9:$FA$9,0)))</f>
        <v/>
      </c>
      <c r="M26" s="91" t="str" cm="1">
        <f t="array" ref="M2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26" s="92" t="str" cm="1">
        <f t="array" ref="N2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26" s="91" t="str">
        <f t="shared" si="3"/>
        <v/>
      </c>
      <c r="P26" s="6" t="str">
        <f t="shared" ca="1" si="4"/>
        <v/>
      </c>
      <c r="Q26" s="6" t="str">
        <f t="shared" si="5"/>
        <v/>
      </c>
      <c r="R26" s="92" t="str">
        <f t="shared" ca="1" si="6"/>
        <v/>
      </c>
      <c r="S26" s="91" t="str">
        <f t="shared" si="7"/>
        <v/>
      </c>
      <c r="T26" s="6" t="str">
        <f t="shared" si="8"/>
        <v/>
      </c>
      <c r="U26" s="6" t="str">
        <f t="shared" ca="1" si="9"/>
        <v/>
      </c>
      <c r="V26" s="6" t="str">
        <f t="shared" si="10"/>
        <v/>
      </c>
      <c r="W26" s="6" t="str">
        <f t="shared" ca="1" si="11"/>
        <v/>
      </c>
      <c r="X26" s="93">
        <f t="shared" si="12"/>
        <v>35</v>
      </c>
      <c r="Y26" s="130" t="str">
        <f t="shared" ca="1" si="13"/>
        <v>Variablekosten</v>
      </c>
      <c r="Z26" s="95" t="str">
        <f t="shared" si="14"/>
        <v>Tracked</v>
      </c>
      <c r="AA26" s="95" t="str">
        <f t="shared" si="15"/>
        <v>Budget</v>
      </c>
      <c r="AB26" s="94" t="str" cm="1">
        <f t="array" ref="AB26">IF(is_empty,"",IF(is_header,"% Compl.", IFERROR(out_tracked/out_budget,"-")))</f>
        <v>% Compl.</v>
      </c>
      <c r="AC26" s="95" t="str" cm="1">
        <f t="array" ref="AC26">IF(is_empty,"", IF(is_header, "Remaining", IF(out_budget - out_tracked &gt; 0, out_budget - out_tracked,0)))</f>
        <v>Remaining</v>
      </c>
      <c r="AD26" s="95" t="str">
        <f t="shared" si="16"/>
        <v>Excess</v>
      </c>
    </row>
    <row r="27" spans="3:69" x14ac:dyDescent="0.3">
      <c r="C27" s="87" cm="1">
        <f t="array" ref="C27">IF(C26=-1,-1,
  IF(C26&lt;Einkommen_Max_Row,C26+1,
   IF(C26=Einkommen_Max_Row,Einkommen_Total_Row,
    IF(C26=Einkommen_Total_Row,"/1",
     IF(C26="/1",Fixkosten_Header_Row,
      IF(C26&lt;Fixkosten_Max_Row,C26+1,
       IF(C26=Fixkosten_Max_Row,Fixkosten_Total_Row,
        IF(C26=Fixkosten_Total_Row,"/2",
         IF(C26="/2",Variablekosten_Header_Row,
          IF(C26&lt;Variablekosten_Max_Row,C26+1,
           IF(C26=Variablekosten_Max_Row,Variablekosten_Total_row,
            IF(C26=Variablekosten_Total_row,"/3",
             IF(C26="/3",Investment_Header_Row,
              IF(C26&lt;Investment_Max_Row,C26+1,
               IF(C26=Investment_Max_Row,Investment_Total_Row,-1)))))))))))))))</f>
        <v>36</v>
      </c>
      <c r="D27" s="88">
        <f t="shared" si="0"/>
        <v>35</v>
      </c>
      <c r="E27" s="87" cm="1">
        <f t="array" ref="E27">1*OR(row_id=Einkommen_Header_Row,row_id=Fixkosten_Header_Row,row_id=Variablekosten_Header_Row,row_id=Investment_Header_Row)</f>
        <v>0</v>
      </c>
      <c r="F27" s="86">
        <f t="shared" si="1"/>
        <v>1</v>
      </c>
      <c r="G27" s="86" cm="1">
        <f t="array" ref="G27">1*OR(row_id=Einkommen_Total_Row,row_id=Fixkosten_Total_Row,row_id=Variablekosten_Total_row,row_id=Investment_Total_Row)</f>
        <v>0</v>
      </c>
      <c r="H27" s="86">
        <f t="shared" si="2"/>
        <v>0</v>
      </c>
      <c r="I27" s="87" t="str" cm="1">
        <f t="array" ref="I27">IFERROR(INDEX('Budget Planning'!$C:$C,header_row_id),"")</f>
        <v>Variablekosten</v>
      </c>
      <c r="J27" s="86" t="str" cm="1">
        <f t="array" ref="J27">IFERROR(INDEX('Budget Planning'!$C:$C,row_id),"")</f>
        <v>Var 1</v>
      </c>
      <c r="K27" s="89" cm="1">
        <f t="array" aca="1" ref="K27"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7" s="90" t="e" cm="1">
        <f t="array" aca="1" ref="L27" ca="1">IF(OR(is_header,is_empty),"",
INDEX('Budget Planning'!$E:$FA,row_id,
MATCH(IF(selected_period="Jahresübersicht",selected_year,DATE(selected_year,selected_period,1)),'Budget Planning'!$E$9:$FA$9,0)))</f>
        <v>#N/A</v>
      </c>
      <c r="M27" s="91" cm="1">
        <f t="array" ref="M2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27" s="92" cm="1">
        <f t="array" ref="N2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27" s="91" t="str">
        <f t="shared" si="3"/>
        <v>$K$27:$K$31</v>
      </c>
      <c r="P27" s="6">
        <f t="shared" ca="1" si="4"/>
        <v>1</v>
      </c>
      <c r="Q27" s="6" t="str">
        <f t="shared" si="5"/>
        <v>$L$27:$L$31</v>
      </c>
      <c r="R27" s="92" t="e">
        <f t="shared" ca="1" si="6"/>
        <v>#N/A</v>
      </c>
      <c r="S27" s="91" t="e">
        <f t="shared" ca="1" si="7"/>
        <v>#N/A</v>
      </c>
      <c r="T27" s="6" t="str">
        <f t="shared" si="8"/>
        <v>$S$27:$S$31</v>
      </c>
      <c r="U27" s="6" t="e">
        <f t="shared" ca="1" si="9"/>
        <v>#N/A</v>
      </c>
      <c r="V27" s="6" t="str">
        <f t="shared" si="10"/>
        <v>$U$27:$U$27</v>
      </c>
      <c r="W27" s="6" t="e">
        <f t="shared" ca="1" si="11"/>
        <v>#N/A</v>
      </c>
      <c r="X27" s="93" t="e">
        <f t="shared" ca="1" si="12"/>
        <v>#N/A</v>
      </c>
      <c r="Y27" s="86" t="e">
        <f t="shared" ca="1" si="13"/>
        <v>#N/A</v>
      </c>
      <c r="Z27" s="95" t="e">
        <f t="shared" ca="1" si="14"/>
        <v>#N/A</v>
      </c>
      <c r="AA27" s="95" t="e">
        <f t="shared" ca="1" si="15"/>
        <v>#N/A</v>
      </c>
      <c r="AB27" s="94" t="str" cm="1">
        <f t="array" aca="1" ref="AB27" ca="1">IF(is_empty,"",IF(is_header,"% Compl.", IFERROR(out_tracked/out_budget,"-")))</f>
        <v>-</v>
      </c>
      <c r="AC27" s="95" t="e" cm="1">
        <f t="array" aca="1" ref="AC27" ca="1">IF(is_empty,"", IF(is_header, "Remaining", IF(out_budget - out_tracked &gt; 0, out_budget - out_tracked,0)))</f>
        <v>#N/A</v>
      </c>
      <c r="AD27" s="95" t="e">
        <f t="shared" ca="1" si="16"/>
        <v>#N/A</v>
      </c>
      <c r="AF27" s="99"/>
      <c r="AG27" s="100"/>
      <c r="AH27" s="100"/>
      <c r="AI27" s="100"/>
      <c r="AJ27" s="100"/>
      <c r="AK27" s="101"/>
      <c r="AM27" s="99"/>
      <c r="AN27" s="100"/>
      <c r="AO27" s="100"/>
      <c r="AP27" s="100"/>
      <c r="AQ27" s="100"/>
      <c r="AR27" s="101"/>
      <c r="AT27" s="99"/>
      <c r="AU27" s="100"/>
      <c r="AV27" s="100"/>
      <c r="AW27" s="100"/>
      <c r="AX27" s="100"/>
      <c r="AY27" s="100"/>
      <c r="AZ27" s="100"/>
      <c r="BA27" s="100"/>
      <c r="BB27" s="100"/>
      <c r="BC27" s="100"/>
      <c r="BD27" s="100"/>
      <c r="BE27" s="100"/>
      <c r="BF27" s="101"/>
    </row>
    <row r="28" spans="3:69" x14ac:dyDescent="0.3">
      <c r="C28" s="87" cm="1">
        <f t="array" ref="C28">IF(C27=-1,-1,
  IF(C27&lt;Einkommen_Max_Row,C27+1,
   IF(C27=Einkommen_Max_Row,Einkommen_Total_Row,
    IF(C27=Einkommen_Total_Row,"/1",
     IF(C27="/1",Fixkosten_Header_Row,
      IF(C27&lt;Fixkosten_Max_Row,C27+1,
       IF(C27=Fixkosten_Max_Row,Fixkosten_Total_Row,
        IF(C27=Fixkosten_Total_Row,"/2",
         IF(C27="/2",Variablekosten_Header_Row,
          IF(C27&lt;Variablekosten_Max_Row,C27+1,
           IF(C27=Variablekosten_Max_Row,Variablekosten_Total_row,
            IF(C27=Variablekosten_Total_row,"/3",
             IF(C27="/3",Investment_Header_Row,
              IF(C27&lt;Investment_Max_Row,C27+1,
               IF(C27=Investment_Max_Row,Investment_Total_Row,-1)))))))))))))))</f>
        <v>37</v>
      </c>
      <c r="D28" s="88">
        <f t="shared" si="0"/>
        <v>35</v>
      </c>
      <c r="E28" s="87" cm="1">
        <f t="array" ref="E28">1*OR(row_id=Einkommen_Header_Row,row_id=Fixkosten_Header_Row,row_id=Variablekosten_Header_Row,row_id=Investment_Header_Row)</f>
        <v>0</v>
      </c>
      <c r="F28" s="86">
        <f t="shared" si="1"/>
        <v>1</v>
      </c>
      <c r="G28" s="86" cm="1">
        <f t="array" ref="G28">1*OR(row_id=Einkommen_Total_Row,row_id=Fixkosten_Total_Row,row_id=Variablekosten_Total_row,row_id=Investment_Total_Row)</f>
        <v>0</v>
      </c>
      <c r="H28" s="86">
        <f t="shared" si="2"/>
        <v>0</v>
      </c>
      <c r="I28" s="87" t="str" cm="1">
        <f t="array" ref="I28">IFERROR(INDEX('Budget Planning'!$C:$C,header_row_id),"")</f>
        <v>Variablekosten</v>
      </c>
      <c r="J28" s="86" t="str" cm="1">
        <f t="array" ref="J28">IFERROR(INDEX('Budget Planning'!$C:$C,row_id),"")</f>
        <v>Var 2</v>
      </c>
      <c r="K28" s="89" cm="1">
        <f t="array" aca="1" ref="K28"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8" s="90" t="e" cm="1">
        <f t="array" aca="1" ref="L28" ca="1">IF(OR(is_header,is_empty),"",
INDEX('Budget Planning'!$E:$FA,row_id,
MATCH(IF(selected_period="Jahresübersicht",selected_year,DATE(selected_year,selected_period,1)),'Budget Planning'!$E$9:$FA$9,0)))</f>
        <v>#N/A</v>
      </c>
      <c r="M28" s="91" cm="1">
        <f t="array" ref="M2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28" s="92" cm="1">
        <f t="array" ref="N2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28" s="91" t="str">
        <f t="shared" si="3"/>
        <v>$K$27:$K$31</v>
      </c>
      <c r="P28" s="6">
        <f t="shared" ca="1" si="4"/>
        <v>1</v>
      </c>
      <c r="Q28" s="6" t="str">
        <f t="shared" si="5"/>
        <v>$L$27:$L$31</v>
      </c>
      <c r="R28" s="92" t="e">
        <f t="shared" ca="1" si="6"/>
        <v>#N/A</v>
      </c>
      <c r="S28" s="91" t="e">
        <f t="shared" ca="1" si="7"/>
        <v>#N/A</v>
      </c>
      <c r="T28" s="6" t="str">
        <f t="shared" si="8"/>
        <v>$S$27:$S$31</v>
      </c>
      <c r="U28" s="6" t="e">
        <f t="shared" ca="1" si="9"/>
        <v>#N/A</v>
      </c>
      <c r="V28" s="6" t="str">
        <f t="shared" si="10"/>
        <v>$U$27:$U$28</v>
      </c>
      <c r="W28" s="6" t="e">
        <f t="shared" ca="1" si="11"/>
        <v>#N/A</v>
      </c>
      <c r="X28" s="93" t="e">
        <f t="shared" ca="1" si="12"/>
        <v>#N/A</v>
      </c>
      <c r="Y28" s="86" t="e">
        <f t="shared" ca="1" si="13"/>
        <v>#N/A</v>
      </c>
      <c r="Z28" s="95" t="e">
        <f t="shared" ca="1" si="14"/>
        <v>#N/A</v>
      </c>
      <c r="AA28" s="95" t="e">
        <f t="shared" ca="1" si="15"/>
        <v>#N/A</v>
      </c>
      <c r="AB28" s="94" t="str" cm="1">
        <f t="array" aca="1" ref="AB28" ca="1">IF(is_empty,"",IF(is_header,"% Compl.", IFERROR(out_tracked/out_budget,"-")))</f>
        <v>-</v>
      </c>
      <c r="AC28" s="95" t="e" cm="1">
        <f t="array" aca="1" ref="AC28" ca="1">IF(is_empty,"", IF(is_header, "Remaining", IF(out_budget - out_tracked &gt; 0, out_budget - out_tracked,0)))</f>
        <v>#N/A</v>
      </c>
      <c r="AD28" s="95" t="e">
        <f t="shared" ca="1" si="16"/>
        <v>#N/A</v>
      </c>
      <c r="AF28" s="102"/>
      <c r="AK28" s="103"/>
      <c r="AM28" s="102"/>
      <c r="AR28" s="103"/>
      <c r="AT28" s="102"/>
      <c r="BF28" s="103"/>
    </row>
    <row r="29" spans="3:69" x14ac:dyDescent="0.3">
      <c r="C29" s="87" cm="1">
        <f t="array" ref="C29">IF(C28=-1,-1,
  IF(C28&lt;Einkommen_Max_Row,C28+1,
   IF(C28=Einkommen_Max_Row,Einkommen_Total_Row,
    IF(C28=Einkommen_Total_Row,"/1",
     IF(C28="/1",Fixkosten_Header_Row,
      IF(C28&lt;Fixkosten_Max_Row,C28+1,
       IF(C28=Fixkosten_Max_Row,Fixkosten_Total_Row,
        IF(C28=Fixkosten_Total_Row,"/2",
         IF(C28="/2",Variablekosten_Header_Row,
          IF(C28&lt;Variablekosten_Max_Row,C28+1,
           IF(C28=Variablekosten_Max_Row,Variablekosten_Total_row,
            IF(C28=Variablekosten_Total_row,"/3",
             IF(C28="/3",Investment_Header_Row,
              IF(C28&lt;Investment_Max_Row,C28+1,
               IF(C28=Investment_Max_Row,Investment_Total_Row,-1)))))))))))))))</f>
        <v>38</v>
      </c>
      <c r="D29" s="88">
        <f t="shared" si="0"/>
        <v>35</v>
      </c>
      <c r="E29" s="87" cm="1">
        <f t="array" ref="E29">1*OR(row_id=Einkommen_Header_Row,row_id=Fixkosten_Header_Row,row_id=Variablekosten_Header_Row,row_id=Investment_Header_Row)</f>
        <v>0</v>
      </c>
      <c r="F29" s="86">
        <f t="shared" si="1"/>
        <v>1</v>
      </c>
      <c r="G29" s="86" cm="1">
        <f t="array" ref="G29">1*OR(row_id=Einkommen_Total_Row,row_id=Fixkosten_Total_Row,row_id=Variablekosten_Total_row,row_id=Investment_Total_Row)</f>
        <v>0</v>
      </c>
      <c r="H29" s="86">
        <f t="shared" si="2"/>
        <v>0</v>
      </c>
      <c r="I29" s="87" t="str" cm="1">
        <f t="array" ref="I29">IFERROR(INDEX('Budget Planning'!$C:$C,header_row_id),"")</f>
        <v>Variablekosten</v>
      </c>
      <c r="J29" s="86" t="str" cm="1">
        <f t="array" ref="J29">IFERROR(INDEX('Budget Planning'!$C:$C,row_id),"")</f>
        <v>Var 3</v>
      </c>
      <c r="K29" s="89" cm="1">
        <f t="array" aca="1" ref="K29"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29" s="90" t="e" cm="1">
        <f t="array" aca="1" ref="L29" ca="1">IF(OR(is_header,is_empty),"",
INDEX('Budget Planning'!$E:$FA,row_id,
MATCH(IF(selected_period="Jahresübersicht",selected_year,DATE(selected_year,selected_period,1)),'Budget Planning'!$E$9:$FA$9,0)))</f>
        <v>#N/A</v>
      </c>
      <c r="M29" s="91" cm="1">
        <f t="array" ref="M2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29" s="92" cm="1">
        <f t="array" ref="N2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29" s="91" t="str">
        <f t="shared" si="3"/>
        <v>$K$27:$K$31</v>
      </c>
      <c r="P29" s="6">
        <f t="shared" ca="1" si="4"/>
        <v>1</v>
      </c>
      <c r="Q29" s="6" t="str">
        <f t="shared" si="5"/>
        <v>$L$27:$L$31</v>
      </c>
      <c r="R29" s="92" t="e">
        <f t="shared" ca="1" si="6"/>
        <v>#N/A</v>
      </c>
      <c r="S29" s="91" t="e">
        <f t="shared" ca="1" si="7"/>
        <v>#N/A</v>
      </c>
      <c r="T29" s="6" t="str">
        <f t="shared" si="8"/>
        <v>$S$27:$S$31</v>
      </c>
      <c r="U29" s="6" t="e">
        <f t="shared" ca="1" si="9"/>
        <v>#N/A</v>
      </c>
      <c r="V29" s="6" t="str">
        <f t="shared" si="10"/>
        <v>$U$27:$U$29</v>
      </c>
      <c r="W29" s="6" t="e">
        <f t="shared" ca="1" si="11"/>
        <v>#N/A</v>
      </c>
      <c r="X29" s="93" t="e">
        <f t="shared" ca="1" si="12"/>
        <v>#N/A</v>
      </c>
      <c r="Y29" s="86" t="e">
        <f t="shared" ca="1" si="13"/>
        <v>#N/A</v>
      </c>
      <c r="Z29" s="95" t="e">
        <f t="shared" ca="1" si="14"/>
        <v>#N/A</v>
      </c>
      <c r="AA29" s="95" t="e">
        <f t="shared" ca="1" si="15"/>
        <v>#N/A</v>
      </c>
      <c r="AB29" s="94" t="str" cm="1">
        <f t="array" aca="1" ref="AB29" ca="1">IF(is_empty,"",IF(is_header,"% Compl.", IFERROR(out_tracked/out_budget,"-")))</f>
        <v>-</v>
      </c>
      <c r="AC29" s="95" t="e" cm="1">
        <f t="array" aca="1" ref="AC29" ca="1">IF(is_empty,"", IF(is_header, "Remaining", IF(out_budget - out_tracked &gt; 0, out_budget - out_tracked,0)))</f>
        <v>#N/A</v>
      </c>
      <c r="AD29" s="95" t="e">
        <f t="shared" ca="1" si="16"/>
        <v>#N/A</v>
      </c>
      <c r="AF29" s="102"/>
      <c r="AK29" s="103"/>
      <c r="AM29" s="102"/>
      <c r="AR29" s="103"/>
      <c r="AT29" s="102"/>
      <c r="BF29" s="103"/>
    </row>
    <row r="30" spans="3:69" x14ac:dyDescent="0.3">
      <c r="C30" s="87" cm="1">
        <f t="array" ref="C30">IF(C29=-1,-1,
  IF(C29&lt;Einkommen_Max_Row,C29+1,
   IF(C29=Einkommen_Max_Row,Einkommen_Total_Row,
    IF(C29=Einkommen_Total_Row,"/1",
     IF(C29="/1",Fixkosten_Header_Row,
      IF(C29&lt;Fixkosten_Max_Row,C29+1,
       IF(C29=Fixkosten_Max_Row,Fixkosten_Total_Row,
        IF(C29=Fixkosten_Total_Row,"/2",
         IF(C29="/2",Variablekosten_Header_Row,
          IF(C29&lt;Variablekosten_Max_Row,C29+1,
           IF(C29=Variablekosten_Max_Row,Variablekosten_Total_row,
            IF(C29=Variablekosten_Total_row,"/3",
             IF(C29="/3",Investment_Header_Row,
              IF(C29&lt;Investment_Max_Row,C29+1,
               IF(C29=Investment_Max_Row,Investment_Total_Row,-1)))))))))))))))</f>
        <v>39</v>
      </c>
      <c r="D30" s="88">
        <f t="shared" si="0"/>
        <v>35</v>
      </c>
      <c r="E30" s="87" cm="1">
        <f t="array" ref="E30">1*OR(row_id=Einkommen_Header_Row,row_id=Fixkosten_Header_Row,row_id=Variablekosten_Header_Row,row_id=Investment_Header_Row)</f>
        <v>0</v>
      </c>
      <c r="F30" s="86">
        <f t="shared" si="1"/>
        <v>1</v>
      </c>
      <c r="G30" s="86" cm="1">
        <f t="array" ref="G30">1*OR(row_id=Einkommen_Total_Row,row_id=Fixkosten_Total_Row,row_id=Variablekosten_Total_row,row_id=Investment_Total_Row)</f>
        <v>0</v>
      </c>
      <c r="H30" s="86">
        <f t="shared" si="2"/>
        <v>0</v>
      </c>
      <c r="I30" s="87" t="str" cm="1">
        <f t="array" ref="I30">IFERROR(INDEX('Budget Planning'!$C:$C,header_row_id),"")</f>
        <v>Variablekosten</v>
      </c>
      <c r="J30" s="86" t="str" cm="1">
        <f t="array" ref="J30">IFERROR(INDEX('Budget Planning'!$C:$C,row_id),"")</f>
        <v>Var 4</v>
      </c>
      <c r="K30" s="89" cm="1">
        <f t="array" aca="1" ref="K30"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0" s="90" t="e" cm="1">
        <f t="array" aca="1" ref="L30" ca="1">IF(OR(is_header,is_empty),"",
INDEX('Budget Planning'!$E:$FA,row_id,
MATCH(IF(selected_period="Jahresübersicht",selected_year,DATE(selected_year,selected_period,1)),'Budget Planning'!$E$9:$FA$9,0)))</f>
        <v>#N/A</v>
      </c>
      <c r="M30" s="91" cm="1">
        <f t="array" ref="M3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30" s="92" cm="1">
        <f t="array" ref="N3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30" s="91" t="str">
        <f t="shared" si="3"/>
        <v>$K$27:$K$31</v>
      </c>
      <c r="P30" s="6">
        <f t="shared" ca="1" si="4"/>
        <v>1</v>
      </c>
      <c r="Q30" s="6" t="str">
        <f t="shared" si="5"/>
        <v>$L$27:$L$31</v>
      </c>
      <c r="R30" s="92" t="e">
        <f t="shared" ca="1" si="6"/>
        <v>#N/A</v>
      </c>
      <c r="S30" s="91" t="e">
        <f t="shared" ca="1" si="7"/>
        <v>#N/A</v>
      </c>
      <c r="T30" s="6" t="str">
        <f t="shared" si="8"/>
        <v>$S$27:$S$31</v>
      </c>
      <c r="U30" s="6" t="e">
        <f t="shared" ca="1" si="9"/>
        <v>#N/A</v>
      </c>
      <c r="V30" s="6" t="str">
        <f t="shared" si="10"/>
        <v>$U$27:$U$30</v>
      </c>
      <c r="W30" s="6" t="e">
        <f t="shared" ca="1" si="11"/>
        <v>#N/A</v>
      </c>
      <c r="X30" s="93" t="e">
        <f t="shared" ca="1" si="12"/>
        <v>#N/A</v>
      </c>
      <c r="Y30" s="86" t="e">
        <f t="shared" ca="1" si="13"/>
        <v>#N/A</v>
      </c>
      <c r="Z30" s="95" t="e">
        <f t="shared" ca="1" si="14"/>
        <v>#N/A</v>
      </c>
      <c r="AA30" s="95" t="e">
        <f t="shared" ca="1" si="15"/>
        <v>#N/A</v>
      </c>
      <c r="AB30" s="94" t="str" cm="1">
        <f t="array" aca="1" ref="AB30" ca="1">IF(is_empty,"",IF(is_header,"% Compl.", IFERROR(out_tracked/out_budget,"-")))</f>
        <v>-</v>
      </c>
      <c r="AC30" s="95" t="e" cm="1">
        <f t="array" aca="1" ref="AC30" ca="1">IF(is_empty,"", IF(is_header, "Remaining", IF(out_budget - out_tracked &gt; 0, out_budget - out_tracked,0)))</f>
        <v>#N/A</v>
      </c>
      <c r="AD30" s="95" t="e">
        <f t="shared" ca="1" si="16"/>
        <v>#N/A</v>
      </c>
      <c r="AF30" s="102"/>
      <c r="AI30" s="116" t="e">
        <f ca="1">Calculations!L34</f>
        <v>#N/A</v>
      </c>
      <c r="AJ30" s="117" t="e">
        <f ca="1">Calculations!M34</f>
        <v>#N/A</v>
      </c>
      <c r="AK30" s="103"/>
      <c r="AM30" s="102"/>
      <c r="AP30" s="116" t="e">
        <f ca="1">Calculations!P34</f>
        <v>#N/A</v>
      </c>
      <c r="AQ30" s="117" t="e">
        <f ca="1">Calculations!Q34</f>
        <v>#N/A</v>
      </c>
      <c r="AR30" s="103"/>
      <c r="AT30" s="102"/>
      <c r="BF30" s="103"/>
    </row>
    <row r="31" spans="3:69" x14ac:dyDescent="0.3">
      <c r="C31" s="87" cm="1">
        <f t="array" ref="C31">IF(C30=-1,-1,
  IF(C30&lt;Einkommen_Max_Row,C30+1,
   IF(C30=Einkommen_Max_Row,Einkommen_Total_Row,
    IF(C30=Einkommen_Total_Row,"/1",
     IF(C30="/1",Fixkosten_Header_Row,
      IF(C30&lt;Fixkosten_Max_Row,C30+1,
       IF(C30=Fixkosten_Max_Row,Fixkosten_Total_Row,
        IF(C30=Fixkosten_Total_Row,"/2",
         IF(C30="/2",Variablekosten_Header_Row,
          IF(C30&lt;Variablekosten_Max_Row,C30+1,
           IF(C30=Variablekosten_Max_Row,Variablekosten_Total_row,
            IF(C30=Variablekosten_Total_row,"/3",
             IF(C30="/3",Investment_Header_Row,
              IF(C30&lt;Investment_Max_Row,C30+1,
               IF(C30=Investment_Max_Row,Investment_Total_Row,-1)))))))))))))))</f>
        <v>40</v>
      </c>
      <c r="D31" s="88">
        <f t="shared" si="0"/>
        <v>35</v>
      </c>
      <c r="E31" s="87" cm="1">
        <f t="array" ref="E31">1*OR(row_id=Einkommen_Header_Row,row_id=Fixkosten_Header_Row,row_id=Variablekosten_Header_Row,row_id=Investment_Header_Row)</f>
        <v>0</v>
      </c>
      <c r="F31" s="86">
        <f t="shared" si="1"/>
        <v>1</v>
      </c>
      <c r="G31" s="86" cm="1">
        <f t="array" ref="G31">1*OR(row_id=Einkommen_Total_Row,row_id=Fixkosten_Total_Row,row_id=Variablekosten_Total_row,row_id=Investment_Total_Row)</f>
        <v>0</v>
      </c>
      <c r="H31" s="86">
        <f t="shared" si="2"/>
        <v>0</v>
      </c>
      <c r="I31" s="87" t="str" cm="1">
        <f t="array" ref="I31">IFERROR(INDEX('Budget Planning'!$C:$C,header_row_id),"")</f>
        <v>Variablekosten</v>
      </c>
      <c r="J31" s="86" t="str" cm="1">
        <f t="array" ref="J31">IFERROR(INDEX('Budget Planning'!$C:$C,row_id),"")</f>
        <v>Var 5</v>
      </c>
      <c r="K31" s="89" cm="1">
        <f t="array" aca="1" ref="K31"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1" s="90" t="e" cm="1">
        <f t="array" aca="1" ref="L31" ca="1">IF(OR(is_header,is_empty),"",
INDEX('Budget Planning'!$E:$FA,row_id,
MATCH(IF(selected_period="Jahresübersicht",selected_year,DATE(selected_year,selected_period,1)),'Budget Planning'!$E$9:$FA$9,0)))</f>
        <v>#N/A</v>
      </c>
      <c r="M31" s="91" cm="1">
        <f t="array" ref="M3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27</v>
      </c>
      <c r="N31" s="92" cm="1">
        <f t="array" ref="N3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31</v>
      </c>
      <c r="O31" s="91" t="str">
        <f t="shared" si="3"/>
        <v>$K$27:$K$31</v>
      </c>
      <c r="P31" s="6">
        <f t="shared" ca="1" si="4"/>
        <v>1</v>
      </c>
      <c r="Q31" s="6" t="str">
        <f t="shared" si="5"/>
        <v>$L$27:$L$31</v>
      </c>
      <c r="R31" s="92" t="e">
        <f t="shared" ca="1" si="6"/>
        <v>#N/A</v>
      </c>
      <c r="S31" s="91" t="e">
        <f t="shared" ca="1" si="7"/>
        <v>#N/A</v>
      </c>
      <c r="T31" s="6" t="str">
        <f t="shared" si="8"/>
        <v>$S$27:$S$31</v>
      </c>
      <c r="U31" s="6" t="e">
        <f t="shared" ca="1" si="9"/>
        <v>#N/A</v>
      </c>
      <c r="V31" s="6" t="str">
        <f t="shared" si="10"/>
        <v>$U$27:$U$31</v>
      </c>
      <c r="W31" s="6" t="e">
        <f t="shared" ca="1" si="11"/>
        <v>#N/A</v>
      </c>
      <c r="X31" s="93" t="e">
        <f t="shared" ca="1" si="12"/>
        <v>#N/A</v>
      </c>
      <c r="Y31" s="86" t="e">
        <f t="shared" ca="1" si="13"/>
        <v>#N/A</v>
      </c>
      <c r="Z31" s="95" t="e">
        <f t="shared" ca="1" si="14"/>
        <v>#N/A</v>
      </c>
      <c r="AA31" s="95" t="e">
        <f t="shared" ca="1" si="15"/>
        <v>#N/A</v>
      </c>
      <c r="AB31" s="94" t="str" cm="1">
        <f t="array" aca="1" ref="AB31" ca="1">IF(is_empty,"",IF(is_header,"% Compl.", IFERROR(out_tracked/out_budget,"-")))</f>
        <v>-</v>
      </c>
      <c r="AC31" s="95" t="e" cm="1">
        <f t="array" aca="1" ref="AC31" ca="1">IF(is_empty,"", IF(is_header, "Remaining", IF(out_budget - out_tracked &gt; 0, out_budget - out_tracked,0)))</f>
        <v>#N/A</v>
      </c>
      <c r="AD31" s="95" t="e">
        <f t="shared" ca="1" si="16"/>
        <v>#N/A</v>
      </c>
      <c r="AF31" s="102"/>
      <c r="AI31" s="116" t="e">
        <f ca="1">Calculations!L35</f>
        <v>#N/A</v>
      </c>
      <c r="AJ31" s="117" t="e">
        <f ca="1">Calculations!M35</f>
        <v>#N/A</v>
      </c>
      <c r="AK31" s="103"/>
      <c r="AM31" s="102"/>
      <c r="AP31" s="116" t="e">
        <f ca="1">Calculations!P35</f>
        <v>#N/A</v>
      </c>
      <c r="AQ31" s="117" t="e">
        <f ca="1">Calculations!Q35</f>
        <v>#N/A</v>
      </c>
      <c r="AR31" s="103"/>
      <c r="AT31" s="102"/>
      <c r="BF31" s="103"/>
    </row>
    <row r="32" spans="3:69" x14ac:dyDescent="0.3">
      <c r="C32" s="87" cm="1">
        <f t="array" ref="C32">IF(C31=-1,-1,
  IF(C31&lt;Einkommen_Max_Row,C31+1,
   IF(C31=Einkommen_Max_Row,Einkommen_Total_Row,
    IF(C31=Einkommen_Total_Row,"/1",
     IF(C31="/1",Fixkosten_Header_Row,
      IF(C31&lt;Fixkosten_Max_Row,C31+1,
       IF(C31=Fixkosten_Max_Row,Fixkosten_Total_Row,
        IF(C31=Fixkosten_Total_Row,"/2",
         IF(C31="/2",Variablekosten_Header_Row,
          IF(C31&lt;Variablekosten_Max_Row,C31+1,
           IF(C31=Variablekosten_Max_Row,Variablekosten_Total_row,
            IF(C31=Variablekosten_Total_row,"/3",
             IF(C31="/3",Investment_Header_Row,
              IF(C31&lt;Investment_Max_Row,C31+1,
               IF(C31=Investment_Max_Row,Investment_Total_Row,-1)))))))))))))))</f>
        <v>46</v>
      </c>
      <c r="D32" s="88">
        <f t="shared" si="0"/>
        <v>35</v>
      </c>
      <c r="E32" s="87" cm="1">
        <f t="array" ref="E32">1*OR(row_id=Einkommen_Header_Row,row_id=Fixkosten_Header_Row,row_id=Variablekosten_Header_Row,row_id=Investment_Header_Row)</f>
        <v>0</v>
      </c>
      <c r="F32" s="86">
        <f t="shared" si="1"/>
        <v>0</v>
      </c>
      <c r="G32" s="86" cm="1">
        <f t="array" ref="G32">1*OR(row_id=Einkommen_Total_Row,row_id=Fixkosten_Total_Row,row_id=Variablekosten_Total_row,row_id=Investment_Total_Row)</f>
        <v>1</v>
      </c>
      <c r="H32" s="86">
        <f t="shared" si="2"/>
        <v>0</v>
      </c>
      <c r="I32" s="87" t="str" cm="1">
        <f t="array" ref="I32">IFERROR(INDEX('Budget Planning'!$C:$C,header_row_id),"")</f>
        <v>Variablekosten</v>
      </c>
      <c r="J32" s="86" t="str" cm="1">
        <f t="array" ref="J32">IFERROR(INDEX('Budget Planning'!$C:$C,row_id),"")</f>
        <v>Total</v>
      </c>
      <c r="K32" s="89" cm="1">
        <f t="array" aca="1" ref="K32"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2" s="90" t="e" cm="1">
        <f t="array" aca="1" ref="L32" ca="1">IF(OR(is_header,is_empty),"",
INDEX('Budget Planning'!$E:$FA,row_id,
MATCH(IF(selected_period="Jahresübersicht",selected_year,DATE(selected_year,selected_period,1)),'Budget Planning'!$E$9:$FA$9,0)))</f>
        <v>#N/A</v>
      </c>
      <c r="M32" s="91" t="str" cm="1">
        <f t="array" ref="M3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2" s="92" t="str" cm="1">
        <f t="array" ref="N3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2" s="91" t="str">
        <f t="shared" si="3"/>
        <v/>
      </c>
      <c r="P32" s="6" t="str">
        <f t="shared" ca="1" si="4"/>
        <v/>
      </c>
      <c r="Q32" s="6" t="str">
        <f t="shared" si="5"/>
        <v/>
      </c>
      <c r="R32" s="92" t="str">
        <f t="shared" ca="1" si="6"/>
        <v/>
      </c>
      <c r="S32" s="91" t="str">
        <f t="shared" si="7"/>
        <v/>
      </c>
      <c r="T32" s="6" t="str">
        <f t="shared" si="8"/>
        <v/>
      </c>
      <c r="U32" s="6" t="str">
        <f t="shared" ca="1" si="9"/>
        <v/>
      </c>
      <c r="V32" s="6" t="str">
        <f t="shared" si="10"/>
        <v/>
      </c>
      <c r="W32" s="6" t="str">
        <f t="shared" ca="1" si="11"/>
        <v/>
      </c>
      <c r="X32" s="93">
        <f t="shared" si="12"/>
        <v>46</v>
      </c>
      <c r="Y32" s="86" t="str">
        <f t="shared" ca="1" si="13"/>
        <v>Total</v>
      </c>
      <c r="Z32" s="95">
        <f t="shared" ca="1" si="14"/>
        <v>0</v>
      </c>
      <c r="AA32" s="95" t="e">
        <f t="shared" ca="1" si="15"/>
        <v>#N/A</v>
      </c>
      <c r="AB32" s="94" t="str" cm="1">
        <f t="array" aca="1" ref="AB32" ca="1">IF(is_empty,"",IF(is_header,"% Compl.", IFERROR(out_tracked/out_budget,"-")))</f>
        <v>-</v>
      </c>
      <c r="AC32" s="95" t="e" cm="1">
        <f t="array" aca="1" ref="AC32" ca="1">IF(is_empty,"", IF(is_header, "Remaining", IF(out_budget - out_tracked &gt; 0, out_budget - out_tracked,0)))</f>
        <v>#N/A</v>
      </c>
      <c r="AD32" s="95" t="e">
        <f t="shared" ca="1" si="16"/>
        <v>#N/A</v>
      </c>
      <c r="AF32" s="102"/>
      <c r="AI32" s="116" t="e">
        <f ca="1">Calculations!L36</f>
        <v>#N/A</v>
      </c>
      <c r="AJ32" s="117" t="e">
        <f ca="1">Calculations!M36</f>
        <v>#N/A</v>
      </c>
      <c r="AK32" s="103"/>
      <c r="AM32" s="102"/>
      <c r="AP32" s="116" t="e">
        <f ca="1">Calculations!P36</f>
        <v>#N/A</v>
      </c>
      <c r="AQ32" s="117" t="e">
        <f ca="1">Calculations!Q36</f>
        <v>#N/A</v>
      </c>
      <c r="AR32" s="103"/>
      <c r="AT32" s="102"/>
      <c r="BF32" s="103"/>
    </row>
    <row r="33" spans="3:58" x14ac:dyDescent="0.3">
      <c r="C33" s="87" t="str" cm="1">
        <f t="array" ref="C33">IF(C32=-1,-1,
  IF(C32&lt;Einkommen_Max_Row,C32+1,
   IF(C32=Einkommen_Max_Row,Einkommen_Total_Row,
    IF(C32=Einkommen_Total_Row,"/1",
     IF(C32="/1",Fixkosten_Header_Row,
      IF(C32&lt;Fixkosten_Max_Row,C32+1,
       IF(C32=Fixkosten_Max_Row,Fixkosten_Total_Row,
        IF(C32=Fixkosten_Total_Row,"/2",
         IF(C32="/2",Variablekosten_Header_Row,
          IF(C32&lt;Variablekosten_Max_Row,C32+1,
           IF(C32=Variablekosten_Max_Row,Variablekosten_Total_row,
            IF(C32=Variablekosten_Total_row,"/3",
             IF(C32="/3",Investment_Header_Row,
              IF(C32&lt;Investment_Max_Row,C32+1,
               IF(C32=Investment_Max_Row,Investment_Total_Row,-1)))))))))))))))</f>
        <v>/3</v>
      </c>
      <c r="D33" s="88">
        <f t="shared" si="0"/>
        <v>-1</v>
      </c>
      <c r="E33" s="87" cm="1">
        <f t="array" ref="E33">1*OR(row_id=Einkommen_Header_Row,row_id=Fixkosten_Header_Row,row_id=Variablekosten_Header_Row,row_id=Investment_Header_Row)</f>
        <v>0</v>
      </c>
      <c r="F33" s="86">
        <f t="shared" si="1"/>
        <v>0</v>
      </c>
      <c r="G33" s="86" cm="1">
        <f t="array" ref="G33">1*OR(row_id=Einkommen_Total_Row,row_id=Fixkosten_Total_Row,row_id=Variablekosten_Total_row,row_id=Investment_Total_Row)</f>
        <v>0</v>
      </c>
      <c r="H33" s="86">
        <f t="shared" si="2"/>
        <v>1</v>
      </c>
      <c r="I33" s="87" t="str" cm="1">
        <f t="array" ref="I33">IFERROR(INDEX('Budget Planning'!$C:$C,header_row_id),"")</f>
        <v/>
      </c>
      <c r="J33" s="86" t="str" cm="1">
        <f t="array" ref="J33">IFERROR(INDEX('Budget Planning'!$C:$C,row_id),"")</f>
        <v/>
      </c>
      <c r="K33" s="89" t="str" cm="1">
        <f t="array" ref="K3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33" s="90" t="str" cm="1">
        <f t="array" ref="L33">IF(OR(is_header,is_empty),"",
INDEX('Budget Planning'!$E:$FA,row_id,
MATCH(IF(selected_period="Jahresübersicht",selected_year,DATE(selected_year,selected_period,1)),'Budget Planning'!$E$9:$FA$9,0)))</f>
        <v/>
      </c>
      <c r="M33" s="91" t="str" cm="1">
        <f t="array" ref="M3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3" s="92" t="str" cm="1">
        <f t="array" ref="N3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3" s="91" t="str">
        <f t="shared" si="3"/>
        <v/>
      </c>
      <c r="P33" s="6" t="str">
        <f t="shared" ca="1" si="4"/>
        <v/>
      </c>
      <c r="Q33" s="6" t="str">
        <f t="shared" si="5"/>
        <v/>
      </c>
      <c r="R33" s="92" t="str">
        <f t="shared" ca="1" si="6"/>
        <v/>
      </c>
      <c r="S33" s="91" t="str">
        <f t="shared" si="7"/>
        <v/>
      </c>
      <c r="T33" s="6" t="str">
        <f t="shared" si="8"/>
        <v/>
      </c>
      <c r="U33" s="6" t="str">
        <f t="shared" ca="1" si="9"/>
        <v/>
      </c>
      <c r="V33" s="6" t="str">
        <f t="shared" si="10"/>
        <v/>
      </c>
      <c r="W33" s="6" t="str">
        <f t="shared" ca="1" si="11"/>
        <v/>
      </c>
      <c r="X33" s="93" t="str">
        <f t="shared" si="12"/>
        <v>/3</v>
      </c>
      <c r="Y33" s="86" t="str">
        <f t="shared" si="13"/>
        <v/>
      </c>
      <c r="Z33" s="95" t="str">
        <f t="shared" si="14"/>
        <v/>
      </c>
      <c r="AA33" s="95" t="str">
        <f t="shared" si="15"/>
        <v/>
      </c>
      <c r="AB33" s="94" t="str" cm="1">
        <f t="array" ref="AB33">IF(is_empty,"",IF(is_header,"% Compl.", IFERROR(out_tracked/out_budget,"-")))</f>
        <v/>
      </c>
      <c r="AC33" s="95" t="str" cm="1">
        <f t="array" ref="AC33">IF(is_empty,"", IF(is_header, "Remaining", IF(out_budget - out_tracked &gt; 0, out_budget - out_tracked,0)))</f>
        <v/>
      </c>
      <c r="AD33" s="95" t="str">
        <f t="shared" si="16"/>
        <v/>
      </c>
      <c r="AF33" s="102"/>
      <c r="AI33" s="116" t="e">
        <f ca="1">Calculations!L37</f>
        <v>#N/A</v>
      </c>
      <c r="AJ33" s="117" t="e">
        <f ca="1">Calculations!M37</f>
        <v>#N/A</v>
      </c>
      <c r="AK33" s="103"/>
      <c r="AM33" s="102"/>
      <c r="AP33" s="116" t="str">
        <f>Calculations!P37</f>
        <v/>
      </c>
      <c r="AQ33" s="117" t="str">
        <f>Calculations!Q37</f>
        <v/>
      </c>
      <c r="AR33" s="103"/>
      <c r="AT33" s="102"/>
      <c r="BF33" s="103"/>
    </row>
    <row r="34" spans="3:58" x14ac:dyDescent="0.3">
      <c r="C34" s="87" cm="1">
        <f t="array" ref="C34">IF(C33=-1,-1,
  IF(C33&lt;Einkommen_Max_Row,C33+1,
   IF(C33=Einkommen_Max_Row,Einkommen_Total_Row,
    IF(C33=Einkommen_Total_Row,"/1",
     IF(C33="/1",Fixkosten_Header_Row,
      IF(C33&lt;Fixkosten_Max_Row,C33+1,
       IF(C33=Fixkosten_Max_Row,Fixkosten_Total_Row,
        IF(C33=Fixkosten_Total_Row,"/2",
         IF(C33="/2",Variablekosten_Header_Row,
          IF(C33&lt;Variablekosten_Max_Row,C33+1,
           IF(C33=Variablekosten_Max_Row,Variablekosten_Total_row,
            IF(C33=Variablekosten_Total_row,"/3",
             IF(C33="/3",Investment_Header_Row,
              IF(C33&lt;Investment_Max_Row,C33+1,
               IF(C33=Investment_Max_Row,Investment_Total_Row,-1)))))))))))))))</f>
        <v>48</v>
      </c>
      <c r="D34" s="88">
        <f t="shared" si="0"/>
        <v>48</v>
      </c>
      <c r="E34" s="87" cm="1">
        <f t="array" ref="E34">1*OR(row_id=Einkommen_Header_Row,row_id=Fixkosten_Header_Row,row_id=Variablekosten_Header_Row,row_id=Investment_Header_Row)</f>
        <v>1</v>
      </c>
      <c r="F34" s="86">
        <f t="shared" si="1"/>
        <v>0</v>
      </c>
      <c r="G34" s="86" cm="1">
        <f t="array" ref="G34">1*OR(row_id=Einkommen_Total_Row,row_id=Fixkosten_Total_Row,row_id=Variablekosten_Total_row,row_id=Investment_Total_Row)</f>
        <v>0</v>
      </c>
      <c r="H34" s="86">
        <f t="shared" si="2"/>
        <v>0</v>
      </c>
      <c r="I34" s="87" t="str" cm="1">
        <f t="array" ref="I34">IFERROR(INDEX('Budget Planning'!$C:$C,header_row_id),"")</f>
        <v>Investment</v>
      </c>
      <c r="J34" s="86" t="str" cm="1">
        <f t="array" ref="J34">IFERROR(INDEX('Budget Planning'!$C:$C,row_id),"")</f>
        <v>Investment</v>
      </c>
      <c r="K34" s="89" t="str" cm="1">
        <f t="array" ref="K34">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34" s="90" t="str" cm="1">
        <f t="array" ref="L34">IF(OR(is_header,is_empty),"",
INDEX('Budget Planning'!$E:$FA,row_id,
MATCH(IF(selected_period="Jahresübersicht",selected_year,DATE(selected_year,selected_period,1)),'Budget Planning'!$E$9:$FA$9,0)))</f>
        <v/>
      </c>
      <c r="M34" s="91" t="str" cm="1">
        <f t="array" ref="M3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4" s="92" t="str" cm="1">
        <f t="array" ref="N3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4" s="91" t="str">
        <f t="shared" si="3"/>
        <v/>
      </c>
      <c r="P34" s="6" t="str">
        <f t="shared" ca="1" si="4"/>
        <v/>
      </c>
      <c r="Q34" s="6" t="str">
        <f t="shared" si="5"/>
        <v/>
      </c>
      <c r="R34" s="92" t="str">
        <f t="shared" ca="1" si="6"/>
        <v/>
      </c>
      <c r="S34" s="91" t="str">
        <f t="shared" si="7"/>
        <v/>
      </c>
      <c r="T34" s="6" t="str">
        <f t="shared" si="8"/>
        <v/>
      </c>
      <c r="U34" s="6" t="str">
        <f t="shared" ca="1" si="9"/>
        <v/>
      </c>
      <c r="V34" s="6" t="str">
        <f t="shared" si="10"/>
        <v/>
      </c>
      <c r="W34" s="6" t="str">
        <f t="shared" ca="1" si="11"/>
        <v/>
      </c>
      <c r="X34" s="93">
        <f t="shared" si="12"/>
        <v>48</v>
      </c>
      <c r="Y34" s="86" t="str">
        <f t="shared" ca="1" si="13"/>
        <v>Investment</v>
      </c>
      <c r="Z34" s="95" t="str">
        <f t="shared" si="14"/>
        <v>Tracked</v>
      </c>
      <c r="AA34" s="95" t="str">
        <f t="shared" si="15"/>
        <v>Budget</v>
      </c>
      <c r="AB34" s="94" t="str" cm="1">
        <f t="array" ref="AB34">IF(is_empty,"",IF(is_header,"% Compl.", IFERROR(out_tracked/out_budget,"-")))</f>
        <v>% Compl.</v>
      </c>
      <c r="AC34" s="95" t="str" cm="1">
        <f t="array" ref="AC34">IF(is_empty,"", IF(is_header, "Remaining", IF(out_budget - out_tracked &gt; 0, out_budget - out_tracked,0)))</f>
        <v>Remaining</v>
      </c>
      <c r="AD34" s="95" t="str">
        <f t="shared" si="16"/>
        <v>Excess</v>
      </c>
      <c r="AF34" s="102"/>
      <c r="AI34" s="116" t="e">
        <f ca="1">Calculations!L38</f>
        <v>#N/A</v>
      </c>
      <c r="AJ34" s="117" t="e">
        <f ca="1">Calculations!M38</f>
        <v>#N/A</v>
      </c>
      <c r="AK34" s="103"/>
      <c r="AM34" s="102"/>
      <c r="AP34" s="116" t="str">
        <f>Calculations!P38</f>
        <v/>
      </c>
      <c r="AQ34" s="117" t="str">
        <f>Calculations!Q38</f>
        <v/>
      </c>
      <c r="AR34" s="103"/>
      <c r="AT34" s="102"/>
      <c r="BF34" s="103"/>
    </row>
    <row r="35" spans="3:58" x14ac:dyDescent="0.3">
      <c r="C35" s="87" cm="1">
        <f t="array" ref="C35">IF(C34=-1,-1,
  IF(C34&lt;Einkommen_Max_Row,C34+1,
   IF(C34=Einkommen_Max_Row,Einkommen_Total_Row,
    IF(C34=Einkommen_Total_Row,"/1",
     IF(C34="/1",Fixkosten_Header_Row,
      IF(C34&lt;Fixkosten_Max_Row,C34+1,
       IF(C34=Fixkosten_Max_Row,Fixkosten_Total_Row,
        IF(C34=Fixkosten_Total_Row,"/2",
         IF(C34="/2",Variablekosten_Header_Row,
          IF(C34&lt;Variablekosten_Max_Row,C34+1,
           IF(C34=Variablekosten_Max_Row,Variablekosten_Total_row,
            IF(C34=Variablekosten_Total_row,"/3",
             IF(C34="/3",Investment_Header_Row,
              IF(C34&lt;Investment_Max_Row,C34+1,
               IF(C34=Investment_Max_Row,Investment_Total_Row,-1)))))))))))))))</f>
        <v>49</v>
      </c>
      <c r="D35" s="88">
        <f t="shared" si="0"/>
        <v>48</v>
      </c>
      <c r="E35" s="87" cm="1">
        <f t="array" ref="E35">1*OR(row_id=Einkommen_Header_Row,row_id=Fixkosten_Header_Row,row_id=Variablekosten_Header_Row,row_id=Investment_Header_Row)</f>
        <v>0</v>
      </c>
      <c r="F35" s="86">
        <f t="shared" si="1"/>
        <v>1</v>
      </c>
      <c r="G35" s="86" cm="1">
        <f t="array" ref="G35">1*OR(row_id=Einkommen_Total_Row,row_id=Fixkosten_Total_Row,row_id=Variablekosten_Total_row,row_id=Investment_Total_Row)</f>
        <v>0</v>
      </c>
      <c r="H35" s="86">
        <f t="shared" si="2"/>
        <v>0</v>
      </c>
      <c r="I35" s="87" t="str" cm="1">
        <f t="array" ref="I35">IFERROR(INDEX('Budget Planning'!$C:$C,header_row_id),"")</f>
        <v>Investment</v>
      </c>
      <c r="J35" s="86" t="str" cm="1">
        <f t="array" ref="J35">IFERROR(INDEX('Budget Planning'!$C:$C,row_id),"")</f>
        <v>Inv 1</v>
      </c>
      <c r="K35" s="89" cm="1">
        <f t="array" aca="1" ref="K35"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5" s="90" t="e" cm="1">
        <f t="array" aca="1" ref="L35" ca="1">IF(OR(is_header,is_empty),"",
INDEX('Budget Planning'!$E:$FA,row_id,
MATCH(IF(selected_period="Jahresübersicht",selected_year,DATE(selected_year,selected_period,1)),'Budget Planning'!$E$9:$FA$9,0)))</f>
        <v>#N/A</v>
      </c>
      <c r="M35" s="91" cm="1">
        <f t="array" ref="M3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35</v>
      </c>
      <c r="N35" s="92" cm="1">
        <f t="array" ref="N3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37</v>
      </c>
      <c r="O35" s="91" t="str">
        <f t="shared" si="3"/>
        <v>$K$35:$K$37</v>
      </c>
      <c r="P35" s="6">
        <f t="shared" ca="1" si="4"/>
        <v>1</v>
      </c>
      <c r="Q35" s="6" t="str">
        <f t="shared" si="5"/>
        <v>$L$35:$L$37</v>
      </c>
      <c r="R35" s="92" t="e">
        <f t="shared" ca="1" si="6"/>
        <v>#N/A</v>
      </c>
      <c r="S35" s="91" t="e">
        <f t="shared" ca="1" si="7"/>
        <v>#N/A</v>
      </c>
      <c r="T35" s="6" t="str">
        <f t="shared" si="8"/>
        <v>$S$35:$S$37</v>
      </c>
      <c r="U35" s="6" t="e">
        <f t="shared" ca="1" si="9"/>
        <v>#N/A</v>
      </c>
      <c r="V35" s="6" t="str">
        <f t="shared" si="10"/>
        <v>$U$35:$U$35</v>
      </c>
      <c r="W35" s="6" t="e">
        <f t="shared" ca="1" si="11"/>
        <v>#N/A</v>
      </c>
      <c r="X35" s="93" t="e">
        <f t="shared" ca="1" si="12"/>
        <v>#N/A</v>
      </c>
      <c r="Y35" s="86" t="e">
        <f t="shared" ca="1" si="13"/>
        <v>#N/A</v>
      </c>
      <c r="Z35" s="95" t="e">
        <f t="shared" ca="1" si="14"/>
        <v>#N/A</v>
      </c>
      <c r="AA35" s="95" t="e">
        <f t="shared" ca="1" si="15"/>
        <v>#N/A</v>
      </c>
      <c r="AB35" s="94" t="str" cm="1">
        <f t="array" aca="1" ref="AB35" ca="1">IF(is_empty,"",IF(is_header,"% Compl.", IFERROR(out_tracked/out_budget,"-")))</f>
        <v>-</v>
      </c>
      <c r="AC35" s="95" t="e" cm="1">
        <f t="array" aca="1" ref="AC35" ca="1">IF(is_empty,"", IF(is_header, "Remaining", IF(out_budget - out_tracked &gt; 0, out_budget - out_tracked,0)))</f>
        <v>#N/A</v>
      </c>
      <c r="AD35" s="95" t="e">
        <f t="shared" ca="1" si="16"/>
        <v>#N/A</v>
      </c>
      <c r="AF35" s="102"/>
      <c r="AI35" s="116" t="str">
        <f>Calculations!L39</f>
        <v/>
      </c>
      <c r="AJ35" s="117" t="str">
        <f>Calculations!M39</f>
        <v/>
      </c>
      <c r="AK35" s="103"/>
      <c r="AM35" s="102"/>
      <c r="AP35" s="116" t="str">
        <f>Calculations!P39</f>
        <v/>
      </c>
      <c r="AQ35" s="117" t="str">
        <f>Calculations!Q39</f>
        <v/>
      </c>
      <c r="AR35" s="103"/>
      <c r="AT35" s="102"/>
      <c r="BF35" s="103"/>
    </row>
    <row r="36" spans="3:58" x14ac:dyDescent="0.3">
      <c r="C36" s="87" cm="1">
        <f t="array" ref="C36">IF(C35=-1,-1,
  IF(C35&lt;Einkommen_Max_Row,C35+1,
   IF(C35=Einkommen_Max_Row,Einkommen_Total_Row,
    IF(C35=Einkommen_Total_Row,"/1",
     IF(C35="/1",Fixkosten_Header_Row,
      IF(C35&lt;Fixkosten_Max_Row,C35+1,
       IF(C35=Fixkosten_Max_Row,Fixkosten_Total_Row,
        IF(C35=Fixkosten_Total_Row,"/2",
         IF(C35="/2",Variablekosten_Header_Row,
          IF(C35&lt;Variablekosten_Max_Row,C35+1,
           IF(C35=Variablekosten_Max_Row,Variablekosten_Total_row,
            IF(C35=Variablekosten_Total_row,"/3",
             IF(C35="/3",Investment_Header_Row,
              IF(C35&lt;Investment_Max_Row,C35+1,
               IF(C35=Investment_Max_Row,Investment_Total_Row,-1)))))))))))))))</f>
        <v>50</v>
      </c>
      <c r="D36" s="88">
        <f t="shared" si="0"/>
        <v>48</v>
      </c>
      <c r="E36" s="87" cm="1">
        <f t="array" ref="E36">1*OR(row_id=Einkommen_Header_Row,row_id=Fixkosten_Header_Row,row_id=Variablekosten_Header_Row,row_id=Investment_Header_Row)</f>
        <v>0</v>
      </c>
      <c r="F36" s="86">
        <f t="shared" si="1"/>
        <v>1</v>
      </c>
      <c r="G36" s="86" cm="1">
        <f t="array" ref="G36">1*OR(row_id=Einkommen_Total_Row,row_id=Fixkosten_Total_Row,row_id=Variablekosten_Total_row,row_id=Investment_Total_Row)</f>
        <v>0</v>
      </c>
      <c r="H36" s="86">
        <f t="shared" si="2"/>
        <v>0</v>
      </c>
      <c r="I36" s="87" t="str" cm="1">
        <f t="array" ref="I36">IFERROR(INDEX('Budget Planning'!$C:$C,header_row_id),"")</f>
        <v>Investment</v>
      </c>
      <c r="J36" s="86" t="str" cm="1">
        <f t="array" ref="J36">IFERROR(INDEX('Budget Planning'!$C:$C,row_id),"")</f>
        <v>Inv 2</v>
      </c>
      <c r="K36" s="89" cm="1">
        <f t="array" aca="1" ref="K36"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6" s="90" t="e" cm="1">
        <f t="array" aca="1" ref="L36" ca="1">IF(OR(is_header,is_empty),"",
INDEX('Budget Planning'!$E:$FA,row_id,
MATCH(IF(selected_period="Jahresübersicht",selected_year,DATE(selected_year,selected_period,1)),'Budget Planning'!$E$9:$FA$9,0)))</f>
        <v>#N/A</v>
      </c>
      <c r="M36" s="91" cm="1">
        <f t="array" ref="M3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35</v>
      </c>
      <c r="N36" s="92" cm="1">
        <f t="array" ref="N3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37</v>
      </c>
      <c r="O36" s="91" t="str">
        <f t="shared" si="3"/>
        <v>$K$35:$K$37</v>
      </c>
      <c r="P36" s="6">
        <f t="shared" ca="1" si="4"/>
        <v>1</v>
      </c>
      <c r="Q36" s="6" t="str">
        <f t="shared" si="5"/>
        <v>$L$35:$L$37</v>
      </c>
      <c r="R36" s="92" t="e">
        <f t="shared" ca="1" si="6"/>
        <v>#N/A</v>
      </c>
      <c r="S36" s="91" t="e">
        <f t="shared" ca="1" si="7"/>
        <v>#N/A</v>
      </c>
      <c r="T36" s="6" t="str">
        <f t="shared" si="8"/>
        <v>$S$35:$S$37</v>
      </c>
      <c r="U36" s="6" t="e">
        <f t="shared" ca="1" si="9"/>
        <v>#N/A</v>
      </c>
      <c r="V36" s="6" t="str">
        <f t="shared" si="10"/>
        <v>$U$35:$U$36</v>
      </c>
      <c r="W36" s="6" t="e">
        <f t="shared" ca="1" si="11"/>
        <v>#N/A</v>
      </c>
      <c r="X36" s="93" t="e">
        <f t="shared" ca="1" si="12"/>
        <v>#N/A</v>
      </c>
      <c r="Y36" s="86" t="e">
        <f t="shared" ca="1" si="13"/>
        <v>#N/A</v>
      </c>
      <c r="Z36" s="95" t="e">
        <f t="shared" ca="1" si="14"/>
        <v>#N/A</v>
      </c>
      <c r="AA36" s="95" t="e">
        <f t="shared" ca="1" si="15"/>
        <v>#N/A</v>
      </c>
      <c r="AB36" s="94" t="str" cm="1">
        <f t="array" aca="1" ref="AB36" ca="1">IF(is_empty,"",IF(is_header,"% Compl.", IFERROR(out_tracked/out_budget,"-")))</f>
        <v>-</v>
      </c>
      <c r="AC36" s="95" t="e" cm="1">
        <f t="array" aca="1" ref="AC36" ca="1">IF(is_empty,"", IF(is_header, "Remaining", IF(out_budget - out_tracked &gt; 0, out_budget - out_tracked,0)))</f>
        <v>#N/A</v>
      </c>
      <c r="AD36" s="95" t="e">
        <f t="shared" ca="1" si="16"/>
        <v>#N/A</v>
      </c>
      <c r="AF36" s="102"/>
      <c r="AI36" s="118" t="str">
        <f>Calculations!L40</f>
        <v>Total</v>
      </c>
      <c r="AJ36" s="119">
        <f ca="1">Calculations!M40</f>
        <v>0</v>
      </c>
      <c r="AK36" s="103"/>
      <c r="AM36" s="102"/>
      <c r="AP36" s="118" t="str">
        <f>Calculations!P40</f>
        <v>Total</v>
      </c>
      <c r="AQ36" s="119">
        <f ca="1">Calculations!Q40</f>
        <v>0</v>
      </c>
      <c r="AR36" s="103"/>
      <c r="AT36" s="102"/>
      <c r="BF36" s="103"/>
    </row>
    <row r="37" spans="3:58" x14ac:dyDescent="0.3">
      <c r="C37" s="87" cm="1">
        <f t="array" ref="C37">IF(C36=-1,-1,
  IF(C36&lt;Einkommen_Max_Row,C36+1,
   IF(C36=Einkommen_Max_Row,Einkommen_Total_Row,
    IF(C36=Einkommen_Total_Row,"/1",
     IF(C36="/1",Fixkosten_Header_Row,
      IF(C36&lt;Fixkosten_Max_Row,C36+1,
       IF(C36=Fixkosten_Max_Row,Fixkosten_Total_Row,
        IF(C36=Fixkosten_Total_Row,"/2",
         IF(C36="/2",Variablekosten_Header_Row,
          IF(C36&lt;Variablekosten_Max_Row,C36+1,
           IF(C36=Variablekosten_Max_Row,Variablekosten_Total_row,
            IF(C36=Variablekosten_Total_row,"/3",
             IF(C36="/3",Investment_Header_Row,
              IF(C36&lt;Investment_Max_Row,C36+1,
               IF(C36=Investment_Max_Row,Investment_Total_Row,-1)))))))))))))))</f>
        <v>51</v>
      </c>
      <c r="D37" s="88">
        <f t="shared" si="0"/>
        <v>48</v>
      </c>
      <c r="E37" s="87" cm="1">
        <f t="array" ref="E37">1*OR(row_id=Einkommen_Header_Row,row_id=Fixkosten_Header_Row,row_id=Variablekosten_Header_Row,row_id=Investment_Header_Row)</f>
        <v>0</v>
      </c>
      <c r="F37" s="86">
        <f t="shared" si="1"/>
        <v>1</v>
      </c>
      <c r="G37" s="86" cm="1">
        <f t="array" ref="G37">1*OR(row_id=Einkommen_Total_Row,row_id=Fixkosten_Total_Row,row_id=Variablekosten_Total_row,row_id=Investment_Total_Row)</f>
        <v>0</v>
      </c>
      <c r="H37" s="86">
        <f t="shared" si="2"/>
        <v>0</v>
      </c>
      <c r="I37" s="87" t="str" cm="1">
        <f t="array" ref="I37">IFERROR(INDEX('Budget Planning'!$C:$C,header_row_id),"")</f>
        <v>Investment</v>
      </c>
      <c r="J37" s="86" t="str" cm="1">
        <f t="array" ref="J37">IFERROR(INDEX('Budget Planning'!$C:$C,row_id),"")</f>
        <v>Inv 3</v>
      </c>
      <c r="K37" s="89" cm="1">
        <f t="array" aca="1" ref="K37"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7" s="90" t="e" cm="1">
        <f t="array" aca="1" ref="L37" ca="1">IF(OR(is_header,is_empty),"",
INDEX('Budget Planning'!$E:$FA,row_id,
MATCH(IF(selected_period="Jahresübersicht",selected_year,DATE(selected_year,selected_period,1)),'Budget Planning'!$E$9:$FA$9,0)))</f>
        <v>#N/A</v>
      </c>
      <c r="M37" s="91" cm="1">
        <f t="array" ref="M3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35</v>
      </c>
      <c r="N37" s="92" cm="1">
        <f t="array" ref="N3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37</v>
      </c>
      <c r="O37" s="91" t="str">
        <f t="shared" si="3"/>
        <v>$K$35:$K$37</v>
      </c>
      <c r="P37" s="6">
        <f t="shared" ca="1" si="4"/>
        <v>1</v>
      </c>
      <c r="Q37" s="6" t="str">
        <f t="shared" si="5"/>
        <v>$L$35:$L$37</v>
      </c>
      <c r="R37" s="92" t="e">
        <f t="shared" ca="1" si="6"/>
        <v>#N/A</v>
      </c>
      <c r="S37" s="91" t="e">
        <f t="shared" ca="1" si="7"/>
        <v>#N/A</v>
      </c>
      <c r="T37" s="6" t="str">
        <f t="shared" si="8"/>
        <v>$S$35:$S$37</v>
      </c>
      <c r="U37" s="6" t="e">
        <f t="shared" ca="1" si="9"/>
        <v>#N/A</v>
      </c>
      <c r="V37" s="6" t="str">
        <f t="shared" si="10"/>
        <v>$U$35:$U$37</v>
      </c>
      <c r="W37" s="6" t="e">
        <f t="shared" ca="1" si="11"/>
        <v>#N/A</v>
      </c>
      <c r="X37" s="93" t="e">
        <f t="shared" ca="1" si="12"/>
        <v>#N/A</v>
      </c>
      <c r="Y37" s="86" t="e">
        <f t="shared" ca="1" si="13"/>
        <v>#N/A</v>
      </c>
      <c r="Z37" s="95" t="e">
        <f t="shared" ca="1" si="14"/>
        <v>#N/A</v>
      </c>
      <c r="AA37" s="95" t="e">
        <f t="shared" ca="1" si="15"/>
        <v>#N/A</v>
      </c>
      <c r="AB37" s="94" t="str" cm="1">
        <f t="array" aca="1" ref="AB37" ca="1">IF(is_empty,"",IF(is_header,"% Compl.", IFERROR(out_tracked/out_budget,"-")))</f>
        <v>-</v>
      </c>
      <c r="AC37" s="95" t="e" cm="1">
        <f t="array" aca="1" ref="AC37" ca="1">IF(is_empty,"", IF(is_header, "Remaining", IF(out_budget - out_tracked &gt; 0, out_budget - out_tracked,0)))</f>
        <v>#N/A</v>
      </c>
      <c r="AD37" s="95" t="e">
        <f t="shared" ca="1" si="16"/>
        <v>#N/A</v>
      </c>
      <c r="AF37" s="102"/>
      <c r="AK37" s="103"/>
      <c r="AM37" s="102"/>
      <c r="AR37" s="103"/>
      <c r="AT37" s="102"/>
      <c r="BF37" s="103"/>
    </row>
    <row r="38" spans="3:58" x14ac:dyDescent="0.3">
      <c r="C38" s="87" cm="1">
        <f t="array" ref="C38">IF(C37=-1,-1,
  IF(C37&lt;Einkommen_Max_Row,C37+1,
   IF(C37=Einkommen_Max_Row,Einkommen_Total_Row,
    IF(C37=Einkommen_Total_Row,"/1",
     IF(C37="/1",Fixkosten_Header_Row,
      IF(C37&lt;Fixkosten_Max_Row,C37+1,
       IF(C37=Fixkosten_Max_Row,Fixkosten_Total_Row,
        IF(C37=Fixkosten_Total_Row,"/2",
         IF(C37="/2",Variablekosten_Header_Row,
          IF(C37&lt;Variablekosten_Max_Row,C37+1,
           IF(C37=Variablekosten_Max_Row,Variablekosten_Total_row,
            IF(C37=Variablekosten_Total_row,"/3",
             IF(C37="/3",Investment_Header_Row,
              IF(C37&lt;Investment_Max_Row,C37+1,
               IF(C37=Investment_Max_Row,Investment_Total_Row,-1)))))))))))))))</f>
        <v>59</v>
      </c>
      <c r="D38" s="88">
        <f t="shared" si="0"/>
        <v>48</v>
      </c>
      <c r="E38" s="87" cm="1">
        <f t="array" ref="E38">1*OR(row_id=Einkommen_Header_Row,row_id=Fixkosten_Header_Row,row_id=Variablekosten_Header_Row,row_id=Investment_Header_Row)</f>
        <v>0</v>
      </c>
      <c r="F38" s="86">
        <f t="shared" si="1"/>
        <v>0</v>
      </c>
      <c r="G38" s="86" cm="1">
        <f t="array" ref="G38">1*OR(row_id=Einkommen_Total_Row,row_id=Fixkosten_Total_Row,row_id=Variablekosten_Total_row,row_id=Investment_Total_Row)</f>
        <v>1</v>
      </c>
      <c r="H38" s="86">
        <f t="shared" si="2"/>
        <v>0</v>
      </c>
      <c r="I38" s="87" t="str" cm="1">
        <f t="array" ref="I38">IFERROR(INDEX('Budget Planning'!$C:$C,header_row_id),"")</f>
        <v>Investment</v>
      </c>
      <c r="J38" s="86" t="str" cm="1">
        <f t="array" ref="J38">IFERROR(INDEX('Budget Planning'!$C:$C,row_id),"")</f>
        <v>Total</v>
      </c>
      <c r="K38" s="89" cm="1">
        <f t="array" aca="1" ref="K38" ca="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0</v>
      </c>
      <c r="L38" s="90" t="e" cm="1">
        <f t="array" aca="1" ref="L38" ca="1">IF(OR(is_header,is_empty),"",
INDEX('Budget Planning'!$E:$FA,row_id,
MATCH(IF(selected_period="Jahresübersicht",selected_year,DATE(selected_year,selected_period,1)),'Budget Planning'!$E$9:$FA$9,0)))</f>
        <v>#N/A</v>
      </c>
      <c r="M38" s="91" t="str" cm="1">
        <f t="array" ref="M3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8" s="92" t="str" cm="1">
        <f t="array" ref="N3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8" s="91" t="str">
        <f t="shared" si="3"/>
        <v/>
      </c>
      <c r="P38" s="6" t="str">
        <f t="shared" ca="1" si="4"/>
        <v/>
      </c>
      <c r="Q38" s="6" t="str">
        <f t="shared" si="5"/>
        <v/>
      </c>
      <c r="R38" s="92" t="str">
        <f t="shared" ca="1" si="6"/>
        <v/>
      </c>
      <c r="S38" s="91" t="str">
        <f t="shared" si="7"/>
        <v/>
      </c>
      <c r="T38" s="6" t="str">
        <f t="shared" si="8"/>
        <v/>
      </c>
      <c r="U38" s="6" t="str">
        <f t="shared" ca="1" si="9"/>
        <v/>
      </c>
      <c r="V38" s="6" t="str">
        <f t="shared" si="10"/>
        <v/>
      </c>
      <c r="W38" s="6" t="str">
        <f t="shared" ca="1" si="11"/>
        <v/>
      </c>
      <c r="X38" s="93">
        <f t="shared" si="12"/>
        <v>59</v>
      </c>
      <c r="Y38" s="86" t="str">
        <f t="shared" ca="1" si="13"/>
        <v>Total</v>
      </c>
      <c r="Z38" s="95">
        <f t="shared" ca="1" si="14"/>
        <v>0</v>
      </c>
      <c r="AA38" s="95" t="e">
        <f t="shared" ca="1" si="15"/>
        <v>#N/A</v>
      </c>
      <c r="AB38" s="94" t="str" cm="1">
        <f t="array" aca="1" ref="AB38" ca="1">IF(is_empty,"",IF(is_header,"% Compl.", IFERROR(out_tracked/out_budget,"-")))</f>
        <v>-</v>
      </c>
      <c r="AC38" s="95" t="e" cm="1">
        <f t="array" aca="1" ref="AC38" ca="1">IF(is_empty,"", IF(is_header, "Remaining", IF(out_budget - out_tracked &gt; 0, out_budget - out_tracked,0)))</f>
        <v>#N/A</v>
      </c>
      <c r="AD38" s="95" t="e">
        <f t="shared" ca="1" si="16"/>
        <v>#N/A</v>
      </c>
      <c r="AF38" s="102"/>
      <c r="AK38" s="103"/>
      <c r="AM38" s="102"/>
      <c r="AR38" s="103"/>
      <c r="AT38" s="102"/>
      <c r="BF38" s="103"/>
    </row>
    <row r="39" spans="3:58" x14ac:dyDescent="0.3">
      <c r="C39" s="87" cm="1">
        <f t="array" ref="C39">IF(C38=-1,-1,
  IF(C38&lt;Einkommen_Max_Row,C38+1,
   IF(C38=Einkommen_Max_Row,Einkommen_Total_Row,
    IF(C38=Einkommen_Total_Row,"/1",
     IF(C38="/1",Fixkosten_Header_Row,
      IF(C38&lt;Fixkosten_Max_Row,C38+1,
       IF(C38=Fixkosten_Max_Row,Fixkosten_Total_Row,
        IF(C38=Fixkosten_Total_Row,"/2",
         IF(C38="/2",Variablekosten_Header_Row,
          IF(C38&lt;Variablekosten_Max_Row,C38+1,
           IF(C38=Variablekosten_Max_Row,Variablekosten_Total_row,
            IF(C38=Variablekosten_Total_row,"/3",
             IF(C38="/3",Investment_Header_Row,
              IF(C38&lt;Investment_Max_Row,C38+1,
               IF(C38=Investment_Max_Row,Investment_Total_Row,-1)))))))))))))))</f>
        <v>-1</v>
      </c>
      <c r="D39" s="88">
        <f t="shared" si="0"/>
        <v>-1</v>
      </c>
      <c r="E39" s="87" cm="1">
        <f t="array" ref="E39">1*OR(row_id=Einkommen_Header_Row,row_id=Fixkosten_Header_Row,row_id=Variablekosten_Header_Row,row_id=Investment_Header_Row)</f>
        <v>0</v>
      </c>
      <c r="F39" s="86">
        <f t="shared" si="1"/>
        <v>0</v>
      </c>
      <c r="G39" s="86" cm="1">
        <f t="array" ref="G39">1*OR(row_id=Einkommen_Total_Row,row_id=Fixkosten_Total_Row,row_id=Variablekosten_Total_row,row_id=Investment_Total_Row)</f>
        <v>0</v>
      </c>
      <c r="H39" s="86">
        <f t="shared" si="2"/>
        <v>1</v>
      </c>
      <c r="I39" s="87" t="str" cm="1">
        <f t="array" ref="I39">IFERROR(INDEX('Budget Planning'!$C:$C,header_row_id),"")</f>
        <v/>
      </c>
      <c r="J39" s="86" t="str" cm="1">
        <f t="array" ref="J39">IFERROR(INDEX('Budget Planning'!$C:$C,row_id),"")</f>
        <v/>
      </c>
      <c r="K39" s="89" t="str" cm="1">
        <f t="array" ref="K3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39" s="90" t="str" cm="1">
        <f t="array" ref="L39">IF(OR(is_header,is_empty),"",
INDEX('Budget Planning'!$E:$FA,row_id,
MATCH(IF(selected_period="Jahresübersicht",selected_year,DATE(selected_year,selected_period,1)),'Budget Planning'!$E$9:$FA$9,0)))</f>
        <v/>
      </c>
      <c r="M39" s="91" t="str" cm="1">
        <f t="array" ref="M3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39" s="92" t="str" cm="1">
        <f t="array" ref="N3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39" s="91" t="str">
        <f t="shared" si="3"/>
        <v/>
      </c>
      <c r="P39" s="6" t="str">
        <f t="shared" ca="1" si="4"/>
        <v/>
      </c>
      <c r="Q39" s="6" t="str">
        <f t="shared" si="5"/>
        <v/>
      </c>
      <c r="R39" s="92" t="str">
        <f t="shared" ca="1" si="6"/>
        <v/>
      </c>
      <c r="S39" s="91" t="str">
        <f t="shared" si="7"/>
        <v/>
      </c>
      <c r="T39" s="6" t="str">
        <f t="shared" si="8"/>
        <v/>
      </c>
      <c r="U39" s="6" t="str">
        <f t="shared" ca="1" si="9"/>
        <v/>
      </c>
      <c r="V39" s="6" t="str">
        <f t="shared" si="10"/>
        <v/>
      </c>
      <c r="W39" s="6" t="str">
        <f t="shared" ca="1" si="11"/>
        <v/>
      </c>
      <c r="X39" s="93">
        <f t="shared" si="12"/>
        <v>-1</v>
      </c>
      <c r="Y39" s="86" t="str">
        <f t="shared" si="13"/>
        <v/>
      </c>
      <c r="Z39" s="95" t="str">
        <f t="shared" si="14"/>
        <v/>
      </c>
      <c r="AA39" s="95" t="str">
        <f t="shared" si="15"/>
        <v/>
      </c>
      <c r="AB39" s="94" t="str" cm="1">
        <f t="array" ref="AB39">IF(is_empty,"",IF(is_header,"% Compl.", IFERROR(out_tracked/out_budget,"-")))</f>
        <v/>
      </c>
      <c r="AC39" s="95" t="str" cm="1">
        <f t="array" ref="AC39">IF(is_empty,"", IF(is_header, "Remaining", IF(out_budget - out_tracked &gt; 0, out_budget - out_tracked,0)))</f>
        <v/>
      </c>
      <c r="AD39" s="95" t="str">
        <f t="shared" si="16"/>
        <v/>
      </c>
      <c r="AF39" s="104"/>
      <c r="AG39" s="105"/>
      <c r="AH39" s="105"/>
      <c r="AI39" s="105"/>
      <c r="AJ39" s="105"/>
      <c r="AK39" s="106"/>
      <c r="AM39" s="104"/>
      <c r="AN39" s="105"/>
      <c r="AO39" s="105"/>
      <c r="AP39" s="105"/>
      <c r="AQ39" s="105"/>
      <c r="AR39" s="106"/>
      <c r="AT39" s="104"/>
      <c r="AU39" s="105"/>
      <c r="AV39" s="105"/>
      <c r="AW39" s="105"/>
      <c r="AX39" s="105"/>
      <c r="AY39" s="105"/>
      <c r="AZ39" s="105"/>
      <c r="BA39" s="105"/>
      <c r="BB39" s="105"/>
      <c r="BC39" s="105"/>
      <c r="BD39" s="105"/>
      <c r="BE39" s="105"/>
      <c r="BF39" s="106"/>
    </row>
    <row r="40" spans="3:58" x14ac:dyDescent="0.3">
      <c r="C40" s="87" cm="1">
        <f t="array" ref="C40">IF(C39=-1,-1,
  IF(C39&lt;Einkommen_Max_Row,C39+1,
   IF(C39=Einkommen_Max_Row,Einkommen_Total_Row,
    IF(C39=Einkommen_Total_Row,"/1",
     IF(C39="/1",Fixkosten_Header_Row,
      IF(C39&lt;Fixkosten_Max_Row,C39+1,
       IF(C39=Fixkosten_Max_Row,Fixkosten_Total_Row,
        IF(C39=Fixkosten_Total_Row,"/2",
         IF(C39="/2",Variablekosten_Header_Row,
          IF(C39&lt;Variablekosten_Max_Row,C39+1,
           IF(C39=Variablekosten_Max_Row,Variablekosten_Total_row,
            IF(C39=Variablekosten_Total_row,"/3",
             IF(C39="/3",Investment_Header_Row,
              IF(C39&lt;Investment_Max_Row,C39+1,
               IF(C39=Investment_Max_Row,Investment_Total_Row,-1)))))))))))))))</f>
        <v>-1</v>
      </c>
      <c r="D40" s="88">
        <f t="shared" si="0"/>
        <v>-1</v>
      </c>
      <c r="E40" s="87" cm="1">
        <f t="array" ref="E40">1*OR(row_id=Einkommen_Header_Row,row_id=Fixkosten_Header_Row,row_id=Variablekosten_Header_Row,row_id=Investment_Header_Row)</f>
        <v>0</v>
      </c>
      <c r="F40" s="86">
        <f t="shared" si="1"/>
        <v>0</v>
      </c>
      <c r="G40" s="86" cm="1">
        <f t="array" ref="G40">1*OR(row_id=Einkommen_Total_Row,row_id=Fixkosten_Total_Row,row_id=Variablekosten_Total_row,row_id=Investment_Total_Row)</f>
        <v>0</v>
      </c>
      <c r="H40" s="86">
        <f t="shared" si="2"/>
        <v>1</v>
      </c>
      <c r="I40" s="87" t="str" cm="1">
        <f t="array" ref="I40">IFERROR(INDEX('Budget Planning'!$C:$C,header_row_id),"")</f>
        <v/>
      </c>
      <c r="J40" s="86" t="str" cm="1">
        <f t="array" ref="J40">IFERROR(INDEX('Budget Planning'!$C:$C,row_id),"")</f>
        <v/>
      </c>
      <c r="K40" s="89" t="str" cm="1">
        <f t="array" ref="K40">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0" s="90" t="str" cm="1">
        <f t="array" ref="L40">IF(OR(is_header,is_empty),"",
INDEX('Budget Planning'!$E:$FA,row_id,
MATCH(IF(selected_period="Jahresübersicht",selected_year,DATE(selected_year,selected_period,1)),'Budget Planning'!$E$9:$FA$9,0)))</f>
        <v/>
      </c>
      <c r="M40" s="91" t="str" cm="1">
        <f t="array" ref="M4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0" s="92" t="str" cm="1">
        <f t="array" ref="N4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0" s="91" t="str">
        <f t="shared" si="3"/>
        <v/>
      </c>
      <c r="P40" s="6" t="str">
        <f t="shared" ca="1" si="4"/>
        <v/>
      </c>
      <c r="Q40" s="6" t="str">
        <f t="shared" si="5"/>
        <v/>
      </c>
      <c r="R40" s="92" t="str">
        <f t="shared" ca="1" si="6"/>
        <v/>
      </c>
      <c r="S40" s="91" t="str">
        <f t="shared" si="7"/>
        <v/>
      </c>
      <c r="T40" s="6" t="str">
        <f t="shared" si="8"/>
        <v/>
      </c>
      <c r="U40" s="6" t="str">
        <f t="shared" ca="1" si="9"/>
        <v/>
      </c>
      <c r="V40" s="6" t="str">
        <f t="shared" si="10"/>
        <v/>
      </c>
      <c r="W40" s="6" t="str">
        <f t="shared" ca="1" si="11"/>
        <v/>
      </c>
      <c r="X40" s="93">
        <f t="shared" si="12"/>
        <v>-1</v>
      </c>
      <c r="Y40" s="86" t="str">
        <f t="shared" si="13"/>
        <v/>
      </c>
      <c r="Z40" s="95" t="str">
        <f t="shared" si="14"/>
        <v/>
      </c>
      <c r="AA40" s="95" t="str">
        <f t="shared" si="15"/>
        <v/>
      </c>
      <c r="AB40" s="94" t="str" cm="1">
        <f t="array" ref="AB40">IF(is_empty,"",IF(is_header,"% Compl.", IFERROR(out_tracked/out_budget,"-")))</f>
        <v/>
      </c>
      <c r="AC40" s="95" t="str" cm="1">
        <f t="array" ref="AC40">IF(is_empty,"", IF(is_header, "Remaining", IF(out_budget - out_tracked &gt; 0, out_budget - out_tracked,0)))</f>
        <v/>
      </c>
      <c r="AD40" s="95" t="str">
        <f t="shared" si="16"/>
        <v/>
      </c>
    </row>
    <row r="41" spans="3:58" x14ac:dyDescent="0.3">
      <c r="C41" s="87" cm="1">
        <f t="array" ref="C41">IF(C40=-1,-1,
  IF(C40&lt;Einkommen_Max_Row,C40+1,
   IF(C40=Einkommen_Max_Row,Einkommen_Total_Row,
    IF(C40=Einkommen_Total_Row,"/1",
     IF(C40="/1",Fixkosten_Header_Row,
      IF(C40&lt;Fixkosten_Max_Row,C40+1,
       IF(C40=Fixkosten_Max_Row,Fixkosten_Total_Row,
        IF(C40=Fixkosten_Total_Row,"/2",
         IF(C40="/2",Variablekosten_Header_Row,
          IF(C40&lt;Variablekosten_Max_Row,C40+1,
           IF(C40=Variablekosten_Max_Row,Variablekosten_Total_row,
            IF(C40=Variablekosten_Total_row,"/3",
             IF(C40="/3",Investment_Header_Row,
              IF(C40&lt;Investment_Max_Row,C40+1,
               IF(C40=Investment_Max_Row,Investment_Total_Row,-1)))))))))))))))</f>
        <v>-1</v>
      </c>
      <c r="D41" s="88">
        <f t="shared" si="0"/>
        <v>-1</v>
      </c>
      <c r="E41" s="87" cm="1">
        <f t="array" ref="E41">1*OR(row_id=Einkommen_Header_Row,row_id=Fixkosten_Header_Row,row_id=Variablekosten_Header_Row,row_id=Investment_Header_Row)</f>
        <v>0</v>
      </c>
      <c r="F41" s="86">
        <f t="shared" si="1"/>
        <v>0</v>
      </c>
      <c r="G41" s="86" cm="1">
        <f t="array" ref="G41">1*OR(row_id=Einkommen_Total_Row,row_id=Fixkosten_Total_Row,row_id=Variablekosten_Total_row,row_id=Investment_Total_Row)</f>
        <v>0</v>
      </c>
      <c r="H41" s="86">
        <f t="shared" si="2"/>
        <v>1</v>
      </c>
      <c r="I41" s="87" t="str" cm="1">
        <f t="array" ref="I41">IFERROR(INDEX('Budget Planning'!$C:$C,header_row_id),"")</f>
        <v/>
      </c>
      <c r="J41" s="86" t="str" cm="1">
        <f t="array" ref="J41">IFERROR(INDEX('Budget Planning'!$C:$C,row_id),"")</f>
        <v/>
      </c>
      <c r="K41" s="89" t="str" cm="1">
        <f t="array" ref="K4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1" s="90" t="str" cm="1">
        <f t="array" ref="L41">IF(OR(is_header,is_empty),"",
INDEX('Budget Planning'!$E:$FA,row_id,
MATCH(IF(selected_period="Jahresübersicht",selected_year,DATE(selected_year,selected_period,1)),'Budget Planning'!$E$9:$FA$9,0)))</f>
        <v/>
      </c>
      <c r="M41" s="91" t="str" cm="1">
        <f t="array" ref="M4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1" s="92" t="str" cm="1">
        <f t="array" ref="N4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1" s="91" t="str">
        <f t="shared" si="3"/>
        <v/>
      </c>
      <c r="P41" s="6" t="str">
        <f t="shared" ca="1" si="4"/>
        <v/>
      </c>
      <c r="Q41" s="6" t="str">
        <f t="shared" si="5"/>
        <v/>
      </c>
      <c r="R41" s="92" t="str">
        <f t="shared" ca="1" si="6"/>
        <v/>
      </c>
      <c r="S41" s="91" t="str">
        <f t="shared" si="7"/>
        <v/>
      </c>
      <c r="T41" s="6" t="str">
        <f t="shared" si="8"/>
        <v/>
      </c>
      <c r="U41" s="6" t="str">
        <f t="shared" ca="1" si="9"/>
        <v/>
      </c>
      <c r="V41" s="6" t="str">
        <f t="shared" si="10"/>
        <v/>
      </c>
      <c r="W41" s="6" t="str">
        <f t="shared" ca="1" si="11"/>
        <v/>
      </c>
      <c r="X41" s="93">
        <f t="shared" si="12"/>
        <v>-1</v>
      </c>
      <c r="Y41" s="86" t="str">
        <f t="shared" si="13"/>
        <v/>
      </c>
      <c r="Z41" s="95" t="str">
        <f t="shared" si="14"/>
        <v/>
      </c>
      <c r="AA41" s="95" t="str">
        <f t="shared" si="15"/>
        <v/>
      </c>
      <c r="AB41" s="94" t="str" cm="1">
        <f t="array" ref="AB41">IF(is_empty,"",IF(is_header,"% Compl.", IFERROR(out_tracked/out_budget,"-")))</f>
        <v/>
      </c>
      <c r="AC41" s="95" t="str" cm="1">
        <f t="array" ref="AC41">IF(is_empty,"", IF(is_header, "Remaining", IF(out_budget - out_tracked &gt; 0, out_budget - out_tracked,0)))</f>
        <v/>
      </c>
      <c r="AD41" s="95" t="str">
        <f t="shared" si="16"/>
        <v/>
      </c>
    </row>
    <row r="42" spans="3:58" x14ac:dyDescent="0.3">
      <c r="C42" s="87" cm="1">
        <f t="array" ref="C42">IF(C41=-1,-1,
  IF(C41&lt;Einkommen_Max_Row,C41+1,
   IF(C41=Einkommen_Max_Row,Einkommen_Total_Row,
    IF(C41=Einkommen_Total_Row,"/1",
     IF(C41="/1",Fixkosten_Header_Row,
      IF(C41&lt;Fixkosten_Max_Row,C41+1,
       IF(C41=Fixkosten_Max_Row,Fixkosten_Total_Row,
        IF(C41=Fixkosten_Total_Row,"/2",
         IF(C41="/2",Variablekosten_Header_Row,
          IF(C41&lt;Variablekosten_Max_Row,C41+1,
           IF(C41=Variablekosten_Max_Row,Variablekosten_Total_row,
            IF(C41=Variablekosten_Total_row,"/3",
             IF(C41="/3",Investment_Header_Row,
              IF(C41&lt;Investment_Max_Row,C41+1,
               IF(C41=Investment_Max_Row,Investment_Total_Row,-1)))))))))))))))</f>
        <v>-1</v>
      </c>
      <c r="D42" s="88">
        <f t="shared" si="0"/>
        <v>-1</v>
      </c>
      <c r="E42" s="87" cm="1">
        <f t="array" ref="E42">1*OR(row_id=Einkommen_Header_Row,row_id=Fixkosten_Header_Row,row_id=Variablekosten_Header_Row,row_id=Investment_Header_Row)</f>
        <v>0</v>
      </c>
      <c r="F42" s="86">
        <f t="shared" si="1"/>
        <v>0</v>
      </c>
      <c r="G42" s="86" cm="1">
        <f t="array" ref="G42">1*OR(row_id=Einkommen_Total_Row,row_id=Fixkosten_Total_Row,row_id=Variablekosten_Total_row,row_id=Investment_Total_Row)</f>
        <v>0</v>
      </c>
      <c r="H42" s="86">
        <f t="shared" si="2"/>
        <v>1</v>
      </c>
      <c r="I42" s="87" t="str" cm="1">
        <f t="array" ref="I42">IFERROR(INDEX('Budget Planning'!$C:$C,header_row_id),"")</f>
        <v/>
      </c>
      <c r="J42" s="86" t="str" cm="1">
        <f t="array" ref="J42">IFERROR(INDEX('Budget Planning'!$C:$C,row_id),"")</f>
        <v/>
      </c>
      <c r="K42" s="89" t="str" cm="1">
        <f t="array" ref="K42">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2" s="90" t="str" cm="1">
        <f t="array" ref="L42">IF(OR(is_header,is_empty),"",
INDEX('Budget Planning'!$E:$FA,row_id,
MATCH(IF(selected_period="Jahresübersicht",selected_year,DATE(selected_year,selected_period,1)),'Budget Planning'!$E$9:$FA$9,0)))</f>
        <v/>
      </c>
      <c r="M42" s="91" t="str" cm="1">
        <f t="array" ref="M4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2" s="92" t="str" cm="1">
        <f t="array" ref="N4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2" s="91" t="str">
        <f t="shared" si="3"/>
        <v/>
      </c>
      <c r="P42" s="6" t="str">
        <f t="shared" ca="1" si="4"/>
        <v/>
      </c>
      <c r="Q42" s="6" t="str">
        <f t="shared" si="5"/>
        <v/>
      </c>
      <c r="R42" s="92" t="str">
        <f t="shared" ca="1" si="6"/>
        <v/>
      </c>
      <c r="S42" s="91" t="str">
        <f t="shared" si="7"/>
        <v/>
      </c>
      <c r="T42" s="6" t="str">
        <f t="shared" si="8"/>
        <v/>
      </c>
      <c r="U42" s="6" t="str">
        <f t="shared" ca="1" si="9"/>
        <v/>
      </c>
      <c r="V42" s="6" t="str">
        <f t="shared" si="10"/>
        <v/>
      </c>
      <c r="W42" s="6" t="str">
        <f t="shared" ca="1" si="11"/>
        <v/>
      </c>
      <c r="X42" s="93">
        <f t="shared" si="12"/>
        <v>-1</v>
      </c>
      <c r="Y42" s="86" t="str">
        <f t="shared" si="13"/>
        <v/>
      </c>
      <c r="Z42" s="95" t="str">
        <f t="shared" si="14"/>
        <v/>
      </c>
      <c r="AA42" s="95" t="str">
        <f t="shared" si="15"/>
        <v/>
      </c>
      <c r="AB42" s="94" t="str" cm="1">
        <f t="array" ref="AB42">IF(is_empty,"",IF(is_header,"% Compl.", IFERROR(out_tracked/out_budget,"-")))</f>
        <v/>
      </c>
      <c r="AC42" s="95" t="str" cm="1">
        <f t="array" ref="AC42">IF(is_empty,"", IF(is_header, "Remaining", IF(out_budget - out_tracked &gt; 0, out_budget - out_tracked,0)))</f>
        <v/>
      </c>
      <c r="AD42" s="95" t="str">
        <f t="shared" si="16"/>
        <v/>
      </c>
    </row>
    <row r="43" spans="3:58" x14ac:dyDescent="0.3">
      <c r="C43" s="87" cm="1">
        <f t="array" ref="C43">IF(C42=-1,-1,
  IF(C42&lt;Einkommen_Max_Row,C42+1,
   IF(C42=Einkommen_Max_Row,Einkommen_Total_Row,
    IF(C42=Einkommen_Total_Row,"/1",
     IF(C42="/1",Fixkosten_Header_Row,
      IF(C42&lt;Fixkosten_Max_Row,C42+1,
       IF(C42=Fixkosten_Max_Row,Fixkosten_Total_Row,
        IF(C42=Fixkosten_Total_Row,"/2",
         IF(C42="/2",Variablekosten_Header_Row,
          IF(C42&lt;Variablekosten_Max_Row,C42+1,
           IF(C42=Variablekosten_Max_Row,Variablekosten_Total_row,
            IF(C42=Variablekosten_Total_row,"/3",
             IF(C42="/3",Investment_Header_Row,
              IF(C42&lt;Investment_Max_Row,C42+1,
               IF(C42=Investment_Max_Row,Investment_Total_Row,-1)))))))))))))))</f>
        <v>-1</v>
      </c>
      <c r="D43" s="88">
        <f t="shared" si="0"/>
        <v>-1</v>
      </c>
      <c r="E43" s="87" cm="1">
        <f t="array" ref="E43">1*OR(row_id=Einkommen_Header_Row,row_id=Fixkosten_Header_Row,row_id=Variablekosten_Header_Row,row_id=Investment_Header_Row)</f>
        <v>0</v>
      </c>
      <c r="F43" s="86">
        <f t="shared" si="1"/>
        <v>0</v>
      </c>
      <c r="G43" s="86" cm="1">
        <f t="array" ref="G43">1*OR(row_id=Einkommen_Total_Row,row_id=Fixkosten_Total_Row,row_id=Variablekosten_Total_row,row_id=Investment_Total_Row)</f>
        <v>0</v>
      </c>
      <c r="H43" s="86">
        <f t="shared" si="2"/>
        <v>1</v>
      </c>
      <c r="I43" s="87" t="str" cm="1">
        <f t="array" ref="I43">IFERROR(INDEX('Budget Planning'!$C:$C,header_row_id),"")</f>
        <v/>
      </c>
      <c r="J43" s="86" t="str" cm="1">
        <f t="array" ref="J43">IFERROR(INDEX('Budget Planning'!$C:$C,row_id),"")</f>
        <v/>
      </c>
      <c r="K43" s="89" t="str" cm="1">
        <f t="array" ref="K4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3" s="90" t="str" cm="1">
        <f t="array" ref="L43">IF(OR(is_header,is_empty),"",
INDEX('Budget Planning'!$E:$FA,row_id,
MATCH(IF(selected_period="Jahresübersicht",selected_year,DATE(selected_year,selected_period,1)),'Budget Planning'!$E$9:$FA$9,0)))</f>
        <v/>
      </c>
      <c r="M43" s="91" t="str" cm="1">
        <f t="array" ref="M4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3" s="92" t="str" cm="1">
        <f t="array" ref="N4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3" s="91" t="str">
        <f t="shared" si="3"/>
        <v/>
      </c>
      <c r="P43" s="6" t="str">
        <f t="shared" ca="1" si="4"/>
        <v/>
      </c>
      <c r="Q43" s="6" t="str">
        <f t="shared" si="5"/>
        <v/>
      </c>
      <c r="R43" s="92" t="str">
        <f t="shared" ca="1" si="6"/>
        <v/>
      </c>
      <c r="S43" s="91" t="str">
        <f t="shared" si="7"/>
        <v/>
      </c>
      <c r="T43" s="6" t="str">
        <f t="shared" si="8"/>
        <v/>
      </c>
      <c r="U43" s="6" t="str">
        <f t="shared" ca="1" si="9"/>
        <v/>
      </c>
      <c r="V43" s="6" t="str">
        <f t="shared" si="10"/>
        <v/>
      </c>
      <c r="W43" s="6" t="str">
        <f t="shared" ca="1" si="11"/>
        <v/>
      </c>
      <c r="X43" s="93">
        <f t="shared" si="12"/>
        <v>-1</v>
      </c>
      <c r="Y43" s="86" t="str">
        <f t="shared" si="13"/>
        <v/>
      </c>
      <c r="Z43" s="95" t="str">
        <f t="shared" si="14"/>
        <v/>
      </c>
      <c r="AA43" s="95" t="str">
        <f t="shared" si="15"/>
        <v/>
      </c>
      <c r="AB43" s="94" t="str" cm="1">
        <f t="array" ref="AB43">IF(is_empty,"",IF(is_header,"% Compl.", IFERROR(out_tracked/out_budget,"-")))</f>
        <v/>
      </c>
      <c r="AC43" s="95" t="str" cm="1">
        <f t="array" ref="AC43">IF(is_empty,"", IF(is_header, "Remaining", IF(out_budget - out_tracked &gt; 0, out_budget - out_tracked,0)))</f>
        <v/>
      </c>
      <c r="AD43" s="95" t="str">
        <f t="shared" si="16"/>
        <v/>
      </c>
    </row>
    <row r="44" spans="3:58" x14ac:dyDescent="0.3">
      <c r="C44" s="87" cm="1">
        <f t="array" ref="C44">IF(C43=-1,-1,
  IF(C43&lt;Einkommen_Max_Row,C43+1,
   IF(C43=Einkommen_Max_Row,Einkommen_Total_Row,
    IF(C43=Einkommen_Total_Row,"/1",
     IF(C43="/1",Fixkosten_Header_Row,
      IF(C43&lt;Fixkosten_Max_Row,C43+1,
       IF(C43=Fixkosten_Max_Row,Fixkosten_Total_Row,
        IF(C43=Fixkosten_Total_Row,"/2",
         IF(C43="/2",Variablekosten_Header_Row,
          IF(C43&lt;Variablekosten_Max_Row,C43+1,
           IF(C43=Variablekosten_Max_Row,Variablekosten_Total_row,
            IF(C43=Variablekosten_Total_row,"/3",
             IF(C43="/3",Investment_Header_Row,
              IF(C43&lt;Investment_Max_Row,C43+1,
               IF(C43=Investment_Max_Row,Investment_Total_Row,-1)))))))))))))))</f>
        <v>-1</v>
      </c>
      <c r="D44" s="88">
        <f t="shared" si="0"/>
        <v>-1</v>
      </c>
      <c r="E44" s="87" cm="1">
        <f t="array" ref="E44">1*OR(row_id=Einkommen_Header_Row,row_id=Fixkosten_Header_Row,row_id=Variablekosten_Header_Row,row_id=Investment_Header_Row)</f>
        <v>0</v>
      </c>
      <c r="F44" s="86">
        <f t="shared" si="1"/>
        <v>0</v>
      </c>
      <c r="G44" s="86" cm="1">
        <f t="array" ref="G44">1*OR(row_id=Einkommen_Total_Row,row_id=Fixkosten_Total_Row,row_id=Variablekosten_Total_row,row_id=Investment_Total_Row)</f>
        <v>0</v>
      </c>
      <c r="H44" s="86">
        <f t="shared" si="2"/>
        <v>1</v>
      </c>
      <c r="I44" s="87" t="str" cm="1">
        <f t="array" ref="I44">IFERROR(INDEX('Budget Planning'!$C:$C,header_row_id),"")</f>
        <v/>
      </c>
      <c r="J44" s="86" t="str" cm="1">
        <f t="array" ref="J44">IFERROR(INDEX('Budget Planning'!$C:$C,row_id),"")</f>
        <v/>
      </c>
      <c r="K44" s="89" t="str" cm="1">
        <f t="array" ref="K44">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4" s="90" t="str" cm="1">
        <f t="array" ref="L44">IF(OR(is_header,is_empty),"",
INDEX('Budget Planning'!$E:$FA,row_id,
MATCH(IF(selected_period="Jahresübersicht",selected_year,DATE(selected_year,selected_period,1)),'Budget Planning'!$E$9:$FA$9,0)))</f>
        <v/>
      </c>
      <c r="M44" s="91" t="str" cm="1">
        <f t="array" ref="M4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4" s="92" t="str" cm="1">
        <f t="array" ref="N4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4" s="91" t="str">
        <f t="shared" si="3"/>
        <v/>
      </c>
      <c r="P44" s="6" t="str">
        <f t="shared" ca="1" si="4"/>
        <v/>
      </c>
      <c r="Q44" s="6" t="str">
        <f t="shared" si="5"/>
        <v/>
      </c>
      <c r="R44" s="92" t="str">
        <f t="shared" ca="1" si="6"/>
        <v/>
      </c>
      <c r="S44" s="91" t="str">
        <f t="shared" si="7"/>
        <v/>
      </c>
      <c r="T44" s="6" t="str">
        <f t="shared" si="8"/>
        <v/>
      </c>
      <c r="U44" s="6" t="str">
        <f t="shared" ca="1" si="9"/>
        <v/>
      </c>
      <c r="V44" s="6" t="str">
        <f t="shared" si="10"/>
        <v/>
      </c>
      <c r="W44" s="6" t="str">
        <f t="shared" ca="1" si="11"/>
        <v/>
      </c>
      <c r="X44" s="93">
        <f t="shared" si="12"/>
        <v>-1</v>
      </c>
      <c r="Y44" s="86" t="str">
        <f t="shared" si="13"/>
        <v/>
      </c>
      <c r="Z44" s="95" t="str">
        <f t="shared" si="14"/>
        <v/>
      </c>
      <c r="AA44" s="95" t="str">
        <f t="shared" si="15"/>
        <v/>
      </c>
      <c r="AB44" s="94" t="str" cm="1">
        <f t="array" ref="AB44">IF(is_empty,"",IF(is_header,"% Compl.", IFERROR(out_tracked/out_budget,"-")))</f>
        <v/>
      </c>
      <c r="AC44" s="95" t="str" cm="1">
        <f t="array" ref="AC44">IF(is_empty,"", IF(is_header, "Remaining", IF(out_budget - out_tracked &gt; 0, out_budget - out_tracked,0)))</f>
        <v/>
      </c>
      <c r="AD44" s="95" t="str">
        <f t="shared" si="16"/>
        <v/>
      </c>
    </row>
    <row r="45" spans="3:58" x14ac:dyDescent="0.3">
      <c r="C45" s="87" cm="1">
        <f t="array" ref="C45">IF(C44=-1,-1,
  IF(C44&lt;Einkommen_Max_Row,C44+1,
   IF(C44=Einkommen_Max_Row,Einkommen_Total_Row,
    IF(C44=Einkommen_Total_Row,"/1",
     IF(C44="/1",Fixkosten_Header_Row,
      IF(C44&lt;Fixkosten_Max_Row,C44+1,
       IF(C44=Fixkosten_Max_Row,Fixkosten_Total_Row,
        IF(C44=Fixkosten_Total_Row,"/2",
         IF(C44="/2",Variablekosten_Header_Row,
          IF(C44&lt;Variablekosten_Max_Row,C44+1,
           IF(C44=Variablekosten_Max_Row,Variablekosten_Total_row,
            IF(C44=Variablekosten_Total_row,"/3",
             IF(C44="/3",Investment_Header_Row,
              IF(C44&lt;Investment_Max_Row,C44+1,
               IF(C44=Investment_Max_Row,Investment_Total_Row,-1)))))))))))))))</f>
        <v>-1</v>
      </c>
      <c r="D45" s="88" t="b">
        <v>1</v>
      </c>
      <c r="E45" s="87" cm="1">
        <f t="array" ref="E45">1*OR(row_id=Einkommen_Header_Row,row_id=Fixkosten_Header_Row,row_id=Variablekosten_Header_Row,row_id=Investment_Header_Row)</f>
        <v>0</v>
      </c>
      <c r="F45" s="86">
        <f t="shared" ref="F45:F63" si="17">1*NOT(OR(is_header,is_total,is_empty))</f>
        <v>0</v>
      </c>
      <c r="G45" s="86" cm="1">
        <f t="array" ref="G45">1*OR(row_id=Einkommen_Total_Row,row_id=Fixkosten_Total_Row,row_id=Variablekosten_Total_row,row_id=Investment_Total_Row)</f>
        <v>0</v>
      </c>
      <c r="H45" s="86">
        <f t="shared" ref="H45:H63" si="18">1*OR(row_id="/1", row_id="/2",row_id="/3",row_id=-1)</f>
        <v>1</v>
      </c>
      <c r="I45" s="87" cm="1">
        <f t="array" ref="I45">IFERROR(INDEX('Budget Planning'!$C:$C,header_row_id),"")</f>
        <v>0</v>
      </c>
      <c r="J45" s="86" t="str" cm="1">
        <f t="array" ref="J45">IFERROR(INDEX('Budget Planning'!$C:$C,row_id),"")</f>
        <v/>
      </c>
      <c r="K45" s="89" t="str" cm="1">
        <f t="array" ref="K45">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5" s="90" t="str" cm="1">
        <f t="array" ref="L45">IF(OR(is_header,is_empty),"",
INDEX('Budget Planning'!$E:$FA,row_id,
MATCH(IF(selected_period="Jahresübersicht",selected_year,DATE(selected_year,selected_period,1)),'Budget Planning'!$E$9:$FA$9,0)))</f>
        <v/>
      </c>
      <c r="M45" s="91" t="str" cm="1">
        <f t="array" ref="M4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5" s="92" t="str" cm="1">
        <f t="array" ref="N4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5" s="91" t="str">
        <f t="shared" ref="O45:O63" si="19">IF(is_cat, ADDRESS(sort_min_row, COLUMN(tracked)) &amp; ":" &amp; ADDRESS(sort_max_row, COLUMN(tracked)),"")</f>
        <v/>
      </c>
      <c r="P45" s="6" t="str">
        <f t="shared" ref="P45:P63" ca="1" si="20">IF(is_cat, RANK(tracked, INDIRECT(tracked_range),0),"")</f>
        <v/>
      </c>
      <c r="Q45" s="6" t="str">
        <f t="shared" ref="Q45:Q63" si="21">IF(is_cat, ADDRESS(sort_min_row, COLUMN(budget)) &amp; ":" &amp; ADDRESS(sort_max_row, COLUMN(budget)),"")</f>
        <v/>
      </c>
      <c r="R45" s="92" t="str">
        <f t="shared" ref="R45:R63" ca="1" si="22">IF(is_cat, RANK(budget, INDIRECT(budget_range),0),"")</f>
        <v/>
      </c>
      <c r="S45" s="91" t="str">
        <f t="shared" ref="S45:S63" si="23">IF(is_cat, _xlfn.NUMBERVALUE(tracked_rank &amp; budget_rank),"")</f>
        <v/>
      </c>
      <c r="T45" s="6" t="str">
        <f t="shared" ref="T45:T63" si="24">IF(is_cat, ADDRESS(sort_min_row, COLUMN(comb_rank)) &amp; ":" &amp; ADDRESS(sort_max_row, COLUMN(comb_rank)),"")</f>
        <v/>
      </c>
      <c r="U45" s="6" t="str">
        <f t="shared" ref="U45:U63" ca="1" si="25">IF(is_cat, RANK(comb_rank, INDIRECT(comb_rank_range),1),"")</f>
        <v/>
      </c>
      <c r="V45" s="6" t="str">
        <f t="shared" ref="V45:V63" si="26">IF(is_cat, ADDRESS(sort_min_row, COLUMN(comb_rank_norm)) &amp; ":" &amp; ADDRESS(ROW(), COLUMN(comb_rank_norm)),"")</f>
        <v/>
      </c>
      <c r="W45" s="6" t="str">
        <f t="shared" ref="W45:W63" ca="1" si="27">IF(is_cat,comb_rank_norm + COUNTIF(INDIRECT(comb_rank_norm_run_range),comb_rank_norm)-1,"")</f>
        <v/>
      </c>
      <c r="X45" s="93">
        <f t="shared" ref="X45:X63" si="28">IF(is_cat, header_row_id + comb_rank_unique, row_id)</f>
        <v>-1</v>
      </c>
      <c r="Y45" s="86" t="str">
        <f t="shared" ref="Y45:Y63" si="29">IF(is_empty, "", INDEX($J:$J, MATCH(row_id, $X:$X,0)))</f>
        <v/>
      </c>
      <c r="Z45" s="95" t="str">
        <f t="shared" ref="Z45:Z63" si="30">IF(is_empty,"", IF(is_header,"Tracked",INDEX($K:$K, MATCH(row_id, $X:$X,0))))</f>
        <v/>
      </c>
      <c r="AA45" s="95" t="str">
        <f t="shared" ref="AA45:AA63" si="31">IF(is_empty,"", IF(is_header,"Budget",INDEX($L:$L, MATCH(row_id, $X:$X,0))))</f>
        <v/>
      </c>
      <c r="AB45" s="94" t="str" cm="1">
        <f t="array" ref="AB45">IF(is_empty,"",IF(is_header,"% Compl.", IFERROR(out_tracked/out_budget,"-")))</f>
        <v/>
      </c>
      <c r="AC45" s="95" t="str" cm="1">
        <f t="array" ref="AC45">IF(is_empty,"", IF(is_header, "Remaining", IF(out_budget - out_tracked &gt; 0, out_budget - out_tracked,0)))</f>
        <v/>
      </c>
      <c r="AD45" s="95" t="str">
        <f t="shared" ref="AD45:AD63" si="32">IF(is_empty,"", IF(is_header, "Excess", IF(out_budget - out_tracked &lt; 0, out_tracked - out_budget,0)))</f>
        <v/>
      </c>
    </row>
    <row r="46" spans="3:58" x14ac:dyDescent="0.3">
      <c r="C46" s="87" cm="1">
        <f t="array" ref="C46">IF(C45=-1,-1,
  IF(C45&lt;Einkommen_Max_Row,C45+1,
   IF(C45=Einkommen_Max_Row,Einkommen_Total_Row,
    IF(C45=Einkommen_Total_Row,"/1",
     IF(C45="/1",Fixkosten_Header_Row,
      IF(C45&lt;Fixkosten_Max_Row,C45+1,
       IF(C45=Fixkosten_Max_Row,Fixkosten_Total_Row,
        IF(C45=Fixkosten_Total_Row,"/2",
         IF(C45="/2",Variablekosten_Header_Row,
          IF(C45&lt;Variablekosten_Max_Row,C45+1,
           IF(C45=Variablekosten_Max_Row,Variablekosten_Total_row,
            IF(C45=Variablekosten_Total_row,"/3",
             IF(C45="/3",Investment_Header_Row,
              IF(C45&lt;Investment_Max_Row,C45+1,
               IF(C45=Investment_Max_Row,Investment_Total_Row,-1)))))))))))))))</f>
        <v>-1</v>
      </c>
      <c r="D46" s="88">
        <f t="shared" ref="D46:D63" si="33">IF(is_header,row_id,
  IF(NOT(is_empty),D45,-1))</f>
        <v>-1</v>
      </c>
      <c r="E46" s="87" cm="1">
        <f t="array" ref="E46">1*OR(row_id=Einkommen_Header_Row,row_id=Fixkosten_Header_Row,row_id=Variablekosten_Header_Row,row_id=Investment_Header_Row)</f>
        <v>0</v>
      </c>
      <c r="F46" s="86">
        <f t="shared" si="17"/>
        <v>0</v>
      </c>
      <c r="G46" s="86" cm="1">
        <f t="array" ref="G46">1*OR(row_id=Einkommen_Total_Row,row_id=Fixkosten_Total_Row,row_id=Variablekosten_Total_row,row_id=Investment_Total_Row)</f>
        <v>0</v>
      </c>
      <c r="H46" s="86">
        <f t="shared" si="18"/>
        <v>1</v>
      </c>
      <c r="I46" s="87" t="str" cm="1">
        <f t="array" ref="I46">IFERROR(INDEX('Budget Planning'!$C:$C,header_row_id),"")</f>
        <v/>
      </c>
      <c r="J46" s="86" t="str" cm="1">
        <f t="array" ref="J46">IFERROR(INDEX('Budget Planning'!$C:$C,row_id),"")</f>
        <v/>
      </c>
      <c r="K46" s="89" t="str" cm="1">
        <f t="array" ref="K46">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6" s="90" t="str" cm="1">
        <f t="array" ref="L46">IF(OR(is_header,is_empty),"",
INDEX('Budget Planning'!$E:$FA,row_id,
MATCH(IF(selected_period="Jahresübersicht",selected_year,DATE(selected_year,selected_period,1)),'Budget Planning'!$E$9:$FA$9,0)))</f>
        <v/>
      </c>
      <c r="M46" s="91" t="str" cm="1">
        <f t="array" ref="M4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6" s="92" t="str" cm="1">
        <f t="array" ref="N4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6" s="91" t="str">
        <f t="shared" si="19"/>
        <v/>
      </c>
      <c r="P46" s="6" t="str">
        <f t="shared" ca="1" si="20"/>
        <v/>
      </c>
      <c r="Q46" s="6" t="str">
        <f t="shared" si="21"/>
        <v/>
      </c>
      <c r="R46" s="92" t="str">
        <f t="shared" ca="1" si="22"/>
        <v/>
      </c>
      <c r="S46" s="91" t="str">
        <f t="shared" si="23"/>
        <v/>
      </c>
      <c r="T46" s="6" t="str">
        <f t="shared" si="24"/>
        <v/>
      </c>
      <c r="U46" s="6" t="str">
        <f t="shared" ca="1" si="25"/>
        <v/>
      </c>
      <c r="V46" s="6" t="str">
        <f t="shared" si="26"/>
        <v/>
      </c>
      <c r="W46" s="6" t="str">
        <f t="shared" ca="1" si="27"/>
        <v/>
      </c>
      <c r="X46" s="93">
        <f t="shared" si="28"/>
        <v>-1</v>
      </c>
      <c r="Y46" s="86" t="str">
        <f t="shared" si="29"/>
        <v/>
      </c>
      <c r="Z46" s="95" t="str">
        <f t="shared" si="30"/>
        <v/>
      </c>
      <c r="AA46" s="95" t="str">
        <f t="shared" si="31"/>
        <v/>
      </c>
      <c r="AB46" s="94" t="str" cm="1">
        <f t="array" ref="AB46">IF(is_empty,"",IF(is_header,"% Compl.", IFERROR(out_tracked/out_budget,"-")))</f>
        <v/>
      </c>
      <c r="AC46" s="95" t="str" cm="1">
        <f t="array" ref="AC46">IF(is_empty,"", IF(is_header, "Remaining", IF(out_budget - out_tracked &gt; 0, out_budget - out_tracked,0)))</f>
        <v/>
      </c>
      <c r="AD46" s="95" t="str">
        <f t="shared" si="32"/>
        <v/>
      </c>
    </row>
    <row r="47" spans="3:58" x14ac:dyDescent="0.3">
      <c r="C47" s="87" cm="1">
        <f t="array" ref="C47">IF(C46=-1,-1,
  IF(C46&lt;Einkommen_Max_Row,C46+1,
   IF(C46=Einkommen_Max_Row,Einkommen_Total_Row,
    IF(C46=Einkommen_Total_Row,"/1",
     IF(C46="/1",Fixkosten_Header_Row,
      IF(C46&lt;Fixkosten_Max_Row,C46+1,
       IF(C46=Fixkosten_Max_Row,Fixkosten_Total_Row,
        IF(C46=Fixkosten_Total_Row,"/2",
         IF(C46="/2",Variablekosten_Header_Row,
          IF(C46&lt;Variablekosten_Max_Row,C46+1,
           IF(C46=Variablekosten_Max_Row,Variablekosten_Total_row,
            IF(C46=Variablekosten_Total_row,"/3",
             IF(C46="/3",Investment_Header_Row,
              IF(C46&lt;Investment_Max_Row,C46+1,
               IF(C46=Investment_Max_Row,Investment_Total_Row,-1)))))))))))))))</f>
        <v>-1</v>
      </c>
      <c r="D47" s="88">
        <f t="shared" si="33"/>
        <v>-1</v>
      </c>
      <c r="E47" s="87" cm="1">
        <f t="array" ref="E47">1*OR(row_id=Einkommen_Header_Row,row_id=Fixkosten_Header_Row,row_id=Variablekosten_Header_Row,row_id=Investment_Header_Row)</f>
        <v>0</v>
      </c>
      <c r="F47" s="86">
        <f t="shared" si="17"/>
        <v>0</v>
      </c>
      <c r="G47" s="86" cm="1">
        <f t="array" ref="G47">1*OR(row_id=Einkommen_Total_Row,row_id=Fixkosten_Total_Row,row_id=Variablekosten_Total_row,row_id=Investment_Total_Row)</f>
        <v>0</v>
      </c>
      <c r="H47" s="86">
        <f t="shared" si="18"/>
        <v>1</v>
      </c>
      <c r="I47" s="87" t="str" cm="1">
        <f t="array" ref="I47">IFERROR(INDEX('Budget Planning'!$C:$C,header_row_id),"")</f>
        <v/>
      </c>
      <c r="J47" s="86" t="str" cm="1">
        <f t="array" ref="J47">IFERROR(INDEX('Budget Planning'!$C:$C,row_id),"")</f>
        <v/>
      </c>
      <c r="K47" s="89" t="str" cm="1">
        <f t="array" ref="K47">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7" s="90" t="str" cm="1">
        <f t="array" ref="L47">IF(OR(is_header,is_empty),"",
INDEX('Budget Planning'!$E:$FA,row_id,
MATCH(IF(selected_period="Jahresübersicht",selected_year,DATE(selected_year,selected_period,1)),'Budget Planning'!$E$9:$FA$9,0)))</f>
        <v/>
      </c>
      <c r="M47" s="91" t="str" cm="1">
        <f t="array" ref="M4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7" s="92" t="str" cm="1">
        <f t="array" ref="N4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7" s="91" t="str">
        <f t="shared" si="19"/>
        <v/>
      </c>
      <c r="P47" s="6" t="str">
        <f t="shared" ca="1" si="20"/>
        <v/>
      </c>
      <c r="Q47" s="6" t="str">
        <f t="shared" si="21"/>
        <v/>
      </c>
      <c r="R47" s="92" t="str">
        <f t="shared" ca="1" si="22"/>
        <v/>
      </c>
      <c r="S47" s="91" t="str">
        <f t="shared" si="23"/>
        <v/>
      </c>
      <c r="T47" s="6" t="str">
        <f t="shared" si="24"/>
        <v/>
      </c>
      <c r="U47" s="6" t="str">
        <f t="shared" ca="1" si="25"/>
        <v/>
      </c>
      <c r="V47" s="6" t="str">
        <f t="shared" si="26"/>
        <v/>
      </c>
      <c r="W47" s="6" t="str">
        <f t="shared" ca="1" si="27"/>
        <v/>
      </c>
      <c r="X47" s="93">
        <f t="shared" si="28"/>
        <v>-1</v>
      </c>
      <c r="Y47" s="86" t="str">
        <f t="shared" si="29"/>
        <v/>
      </c>
      <c r="Z47" s="95" t="str">
        <f t="shared" si="30"/>
        <v/>
      </c>
      <c r="AA47" s="95" t="str">
        <f t="shared" si="31"/>
        <v/>
      </c>
      <c r="AB47" s="94" t="str" cm="1">
        <f t="array" ref="AB47">IF(is_empty,"",IF(is_header,"% Compl.", IFERROR(out_tracked/out_budget,"-")))</f>
        <v/>
      </c>
      <c r="AC47" s="95" t="str" cm="1">
        <f t="array" ref="AC47">IF(is_empty,"", IF(is_header, "Remaining", IF(out_budget - out_tracked &gt; 0, out_budget - out_tracked,0)))</f>
        <v/>
      </c>
      <c r="AD47" s="95" t="str">
        <f t="shared" si="32"/>
        <v/>
      </c>
    </row>
    <row r="48" spans="3:58" x14ac:dyDescent="0.3">
      <c r="C48" s="87" cm="1">
        <f t="array" ref="C48">IF(C47=-1,-1,
  IF(C47&lt;Einkommen_Max_Row,C47+1,
   IF(C47=Einkommen_Max_Row,Einkommen_Total_Row,
    IF(C47=Einkommen_Total_Row,"/1",
     IF(C47="/1",Fixkosten_Header_Row,
      IF(C47&lt;Fixkosten_Max_Row,C47+1,
       IF(C47=Fixkosten_Max_Row,Fixkosten_Total_Row,
        IF(C47=Fixkosten_Total_Row,"/2",
         IF(C47="/2",Variablekosten_Header_Row,
          IF(C47&lt;Variablekosten_Max_Row,C47+1,
           IF(C47=Variablekosten_Max_Row,Variablekosten_Total_row,
            IF(C47=Variablekosten_Total_row,"/3",
             IF(C47="/3",Investment_Header_Row,
              IF(C47&lt;Investment_Max_Row,C47+1,
               IF(C47=Investment_Max_Row,Investment_Total_Row,-1)))))))))))))))</f>
        <v>-1</v>
      </c>
      <c r="D48" s="88">
        <f t="shared" si="33"/>
        <v>-1</v>
      </c>
      <c r="E48" s="87" cm="1">
        <f t="array" ref="E48">1*OR(row_id=Einkommen_Header_Row,row_id=Fixkosten_Header_Row,row_id=Variablekosten_Header_Row,row_id=Investment_Header_Row)</f>
        <v>0</v>
      </c>
      <c r="F48" s="86">
        <f t="shared" si="17"/>
        <v>0</v>
      </c>
      <c r="G48" s="86" cm="1">
        <f t="array" ref="G48">1*OR(row_id=Einkommen_Total_Row,row_id=Fixkosten_Total_Row,row_id=Variablekosten_Total_row,row_id=Investment_Total_Row)</f>
        <v>0</v>
      </c>
      <c r="H48" s="86">
        <f t="shared" si="18"/>
        <v>1</v>
      </c>
      <c r="I48" s="87" t="str" cm="1">
        <f t="array" ref="I48">IFERROR(INDEX('Budget Planning'!$C:$C,header_row_id),"")</f>
        <v/>
      </c>
      <c r="J48" s="86" t="str" cm="1">
        <f t="array" ref="J48">IFERROR(INDEX('Budget Planning'!$C:$C,row_id),"")</f>
        <v/>
      </c>
      <c r="K48" s="89" t="str" cm="1">
        <f t="array" ref="K48">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8" s="90" t="str" cm="1">
        <f t="array" ref="L48">IF(OR(is_header,is_empty),"",
INDEX('Budget Planning'!$E:$FA,row_id,
MATCH(IF(selected_period="Jahresübersicht",selected_year,DATE(selected_year,selected_period,1)),'Budget Planning'!$E$9:$FA$9,0)))</f>
        <v/>
      </c>
      <c r="M48" s="91" t="str" cm="1">
        <f t="array" ref="M4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8" s="92" t="str" cm="1">
        <f t="array" ref="N4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8" s="91" t="str">
        <f t="shared" si="19"/>
        <v/>
      </c>
      <c r="P48" s="6" t="str">
        <f t="shared" ca="1" si="20"/>
        <v/>
      </c>
      <c r="Q48" s="6" t="str">
        <f t="shared" si="21"/>
        <v/>
      </c>
      <c r="R48" s="92" t="str">
        <f t="shared" ca="1" si="22"/>
        <v/>
      </c>
      <c r="S48" s="91" t="str">
        <f t="shared" si="23"/>
        <v/>
      </c>
      <c r="T48" s="6" t="str">
        <f t="shared" si="24"/>
        <v/>
      </c>
      <c r="U48" s="6" t="str">
        <f t="shared" ca="1" si="25"/>
        <v/>
      </c>
      <c r="V48" s="6" t="str">
        <f t="shared" si="26"/>
        <v/>
      </c>
      <c r="W48" s="6" t="str">
        <f t="shared" ca="1" si="27"/>
        <v/>
      </c>
      <c r="X48" s="93">
        <f t="shared" si="28"/>
        <v>-1</v>
      </c>
      <c r="Y48" s="86" t="str">
        <f t="shared" si="29"/>
        <v/>
      </c>
      <c r="Z48" s="95" t="str">
        <f t="shared" si="30"/>
        <v/>
      </c>
      <c r="AA48" s="95" t="str">
        <f t="shared" si="31"/>
        <v/>
      </c>
      <c r="AB48" s="94" t="str" cm="1">
        <f t="array" ref="AB48">IF(is_empty,"",IF(is_header,"% Compl.", IFERROR(out_tracked/out_budget,"-")))</f>
        <v/>
      </c>
      <c r="AC48" s="95" t="str" cm="1">
        <f t="array" ref="AC48">IF(is_empty,"", IF(is_header, "Remaining", IF(out_budget - out_tracked &gt; 0, out_budget - out_tracked,0)))</f>
        <v/>
      </c>
      <c r="AD48" s="95" t="str">
        <f t="shared" si="32"/>
        <v/>
      </c>
    </row>
    <row r="49" spans="3:30" x14ac:dyDescent="0.3">
      <c r="C49" s="87" cm="1">
        <f t="array" ref="C49">IF(C48=-1,-1,
  IF(C48&lt;Einkommen_Max_Row,C48+1,
   IF(C48=Einkommen_Max_Row,Einkommen_Total_Row,
    IF(C48=Einkommen_Total_Row,"/1",
     IF(C48="/1",Fixkosten_Header_Row,
      IF(C48&lt;Fixkosten_Max_Row,C48+1,
       IF(C48=Fixkosten_Max_Row,Fixkosten_Total_Row,
        IF(C48=Fixkosten_Total_Row,"/2",
         IF(C48="/2",Variablekosten_Header_Row,
          IF(C48&lt;Variablekosten_Max_Row,C48+1,
           IF(C48=Variablekosten_Max_Row,Variablekosten_Total_row,
            IF(C48=Variablekosten_Total_row,"/3",
             IF(C48="/3",Investment_Header_Row,
              IF(C48&lt;Investment_Max_Row,C48+1,
               IF(C48=Investment_Max_Row,Investment_Total_Row,-1)))))))))))))))</f>
        <v>-1</v>
      </c>
      <c r="D49" s="88" t="b">
        <v>1</v>
      </c>
      <c r="E49" s="87" cm="1">
        <f t="array" ref="E49">1*OR(row_id=Einkommen_Header_Row,row_id=Fixkosten_Header_Row,row_id=Variablekosten_Header_Row,row_id=Investment_Header_Row)</f>
        <v>0</v>
      </c>
      <c r="F49" s="86">
        <f t="shared" si="17"/>
        <v>0</v>
      </c>
      <c r="G49" s="86" cm="1">
        <f t="array" ref="G49">1*OR(row_id=Einkommen_Total_Row,row_id=Fixkosten_Total_Row,row_id=Variablekosten_Total_row,row_id=Investment_Total_Row)</f>
        <v>0</v>
      </c>
      <c r="H49" s="86">
        <f t="shared" si="18"/>
        <v>1</v>
      </c>
      <c r="I49" s="87" cm="1">
        <f t="array" ref="I49">IFERROR(INDEX('Budget Planning'!$C:$C,header_row_id),"")</f>
        <v>0</v>
      </c>
      <c r="J49" s="86" t="str" cm="1">
        <f t="array" ref="J49">IFERROR(INDEX('Budget Planning'!$C:$C,row_id),"")</f>
        <v/>
      </c>
      <c r="K49" s="89" t="str" cm="1">
        <f t="array" ref="K4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49" s="90" t="str" cm="1">
        <f t="array" ref="L49">IF(OR(is_header,is_empty),"",
INDEX('Budget Planning'!$E:$FA,row_id,
MATCH(IF(selected_period="Jahresübersicht",selected_year,DATE(selected_year,selected_period,1)),'Budget Planning'!$E$9:$FA$9,0)))</f>
        <v/>
      </c>
      <c r="M49" s="91" t="str" cm="1">
        <f t="array" ref="M4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49" s="92" t="str" cm="1">
        <f t="array" ref="N4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49" s="91" t="str">
        <f t="shared" si="19"/>
        <v/>
      </c>
      <c r="P49" s="6" t="str">
        <f t="shared" ca="1" si="20"/>
        <v/>
      </c>
      <c r="Q49" s="6" t="str">
        <f t="shared" si="21"/>
        <v/>
      </c>
      <c r="R49" s="92" t="str">
        <f t="shared" ca="1" si="22"/>
        <v/>
      </c>
      <c r="S49" s="91" t="str">
        <f t="shared" si="23"/>
        <v/>
      </c>
      <c r="T49" s="6" t="str">
        <f t="shared" si="24"/>
        <v/>
      </c>
      <c r="U49" s="6" t="str">
        <f t="shared" ca="1" si="25"/>
        <v/>
      </c>
      <c r="V49" s="6" t="str">
        <f t="shared" si="26"/>
        <v/>
      </c>
      <c r="W49" s="6" t="str">
        <f t="shared" ca="1" si="27"/>
        <v/>
      </c>
      <c r="X49" s="93">
        <f t="shared" si="28"/>
        <v>-1</v>
      </c>
      <c r="Y49" s="86" t="str">
        <f t="shared" si="29"/>
        <v/>
      </c>
      <c r="Z49" s="95" t="str">
        <f t="shared" si="30"/>
        <v/>
      </c>
      <c r="AA49" s="95" t="str">
        <f t="shared" si="31"/>
        <v/>
      </c>
      <c r="AB49" s="94" t="str" cm="1">
        <f t="array" ref="AB49">IF(is_empty,"",IF(is_header,"% Compl.", IFERROR(out_tracked/out_budget,"-")))</f>
        <v/>
      </c>
      <c r="AC49" s="95" t="str" cm="1">
        <f t="array" ref="AC49">IF(is_empty,"", IF(is_header, "Remaining", IF(out_budget - out_tracked &gt; 0, out_budget - out_tracked,0)))</f>
        <v/>
      </c>
      <c r="AD49" s="95" t="str">
        <f t="shared" si="32"/>
        <v/>
      </c>
    </row>
    <row r="50" spans="3:30" x14ac:dyDescent="0.3">
      <c r="C50" s="87" cm="1">
        <f t="array" ref="C50">IF(C49=-1,-1,
  IF(C49&lt;Einkommen_Max_Row,C49+1,
   IF(C49=Einkommen_Max_Row,Einkommen_Total_Row,
    IF(C49=Einkommen_Total_Row,"/1",
     IF(C49="/1",Fixkosten_Header_Row,
      IF(C49&lt;Fixkosten_Max_Row,C49+1,
       IF(C49=Fixkosten_Max_Row,Fixkosten_Total_Row,
        IF(C49=Fixkosten_Total_Row,"/2",
         IF(C49="/2",Variablekosten_Header_Row,
          IF(C49&lt;Variablekosten_Max_Row,C49+1,
           IF(C49=Variablekosten_Max_Row,Variablekosten_Total_row,
            IF(C49=Variablekosten_Total_row,"/3",
             IF(C49="/3",Investment_Header_Row,
              IF(C49&lt;Investment_Max_Row,C49+1,
               IF(C49=Investment_Max_Row,Investment_Total_Row,-1)))))))))))))))</f>
        <v>-1</v>
      </c>
      <c r="D50" s="88">
        <f t="shared" si="33"/>
        <v>-1</v>
      </c>
      <c r="E50" s="87" cm="1">
        <f t="array" ref="E50">1*OR(row_id=Einkommen_Header_Row,row_id=Fixkosten_Header_Row,row_id=Variablekosten_Header_Row,row_id=Investment_Header_Row)</f>
        <v>0</v>
      </c>
      <c r="F50" s="86">
        <f t="shared" si="17"/>
        <v>0</v>
      </c>
      <c r="G50" s="86" cm="1">
        <f t="array" ref="G50">1*OR(row_id=Einkommen_Total_Row,row_id=Fixkosten_Total_Row,row_id=Variablekosten_Total_row,row_id=Investment_Total_Row)</f>
        <v>0</v>
      </c>
      <c r="H50" s="86">
        <f t="shared" si="18"/>
        <v>1</v>
      </c>
      <c r="I50" s="87" t="str" cm="1">
        <f t="array" ref="I50">IFERROR(INDEX('Budget Planning'!$C:$C,header_row_id),"")</f>
        <v/>
      </c>
      <c r="J50" s="86" t="str" cm="1">
        <f t="array" ref="J50">IFERROR(INDEX('Budget Planning'!$C:$C,row_id),"")</f>
        <v/>
      </c>
      <c r="K50" s="89" t="str" cm="1">
        <f t="array" ref="K50">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0" s="90" t="str" cm="1">
        <f t="array" ref="L50">IF(OR(is_header,is_empty),"",
INDEX('Budget Planning'!$E:$FA,row_id,
MATCH(IF(selected_period="Jahresübersicht",selected_year,DATE(selected_year,selected_period,1)),'Budget Planning'!$E$9:$FA$9,0)))</f>
        <v/>
      </c>
      <c r="M50" s="91" t="str" cm="1">
        <f t="array" ref="M5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0" s="92" t="str" cm="1">
        <f t="array" ref="N5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0" s="91" t="str">
        <f t="shared" si="19"/>
        <v/>
      </c>
      <c r="P50" s="6" t="str">
        <f t="shared" ca="1" si="20"/>
        <v/>
      </c>
      <c r="Q50" s="6" t="str">
        <f t="shared" si="21"/>
        <v/>
      </c>
      <c r="R50" s="92" t="str">
        <f t="shared" ca="1" si="22"/>
        <v/>
      </c>
      <c r="S50" s="91" t="str">
        <f t="shared" si="23"/>
        <v/>
      </c>
      <c r="T50" s="6" t="str">
        <f t="shared" si="24"/>
        <v/>
      </c>
      <c r="U50" s="6" t="str">
        <f t="shared" ca="1" si="25"/>
        <v/>
      </c>
      <c r="V50" s="6" t="str">
        <f t="shared" si="26"/>
        <v/>
      </c>
      <c r="W50" s="6" t="str">
        <f t="shared" ca="1" si="27"/>
        <v/>
      </c>
      <c r="X50" s="93">
        <f t="shared" si="28"/>
        <v>-1</v>
      </c>
      <c r="Y50" s="86" t="str">
        <f t="shared" si="29"/>
        <v/>
      </c>
      <c r="Z50" s="95" t="str">
        <f t="shared" si="30"/>
        <v/>
      </c>
      <c r="AA50" s="95" t="str">
        <f t="shared" si="31"/>
        <v/>
      </c>
      <c r="AB50" s="94" t="str" cm="1">
        <f t="array" ref="AB50">IF(is_empty,"",IF(is_header,"% Compl.", IFERROR(out_tracked/out_budget,"-")))</f>
        <v/>
      </c>
      <c r="AC50" s="95" t="str" cm="1">
        <f t="array" ref="AC50">IF(is_empty,"", IF(is_header, "Remaining", IF(out_budget - out_tracked &gt; 0, out_budget - out_tracked,0)))</f>
        <v/>
      </c>
      <c r="AD50" s="95" t="str">
        <f t="shared" si="32"/>
        <v/>
      </c>
    </row>
    <row r="51" spans="3:30" x14ac:dyDescent="0.3">
      <c r="C51" s="87" cm="1">
        <f t="array" ref="C51">IF(C50=-1,-1,
  IF(C50&lt;Einkommen_Max_Row,C50+1,
   IF(C50=Einkommen_Max_Row,Einkommen_Total_Row,
    IF(C50=Einkommen_Total_Row,"/1",
     IF(C50="/1",Fixkosten_Header_Row,
      IF(C50&lt;Fixkosten_Max_Row,C50+1,
       IF(C50=Fixkosten_Max_Row,Fixkosten_Total_Row,
        IF(C50=Fixkosten_Total_Row,"/2",
         IF(C50="/2",Variablekosten_Header_Row,
          IF(C50&lt;Variablekosten_Max_Row,C50+1,
           IF(C50=Variablekosten_Max_Row,Variablekosten_Total_row,
            IF(C50=Variablekosten_Total_row,"/3",
             IF(C50="/3",Investment_Header_Row,
              IF(C50&lt;Investment_Max_Row,C50+1,
               IF(C50=Investment_Max_Row,Investment_Total_Row,-1)))))))))))))))</f>
        <v>-1</v>
      </c>
      <c r="D51" s="88">
        <f t="shared" si="33"/>
        <v>-1</v>
      </c>
      <c r="E51" s="87" cm="1">
        <f t="array" ref="E51">1*OR(row_id=Einkommen_Header_Row,row_id=Fixkosten_Header_Row,row_id=Variablekosten_Header_Row,row_id=Investment_Header_Row)</f>
        <v>0</v>
      </c>
      <c r="F51" s="86">
        <f t="shared" si="17"/>
        <v>0</v>
      </c>
      <c r="G51" s="86" cm="1">
        <f t="array" ref="G51">1*OR(row_id=Einkommen_Total_Row,row_id=Fixkosten_Total_Row,row_id=Variablekosten_Total_row,row_id=Investment_Total_Row)</f>
        <v>0</v>
      </c>
      <c r="H51" s="86">
        <f t="shared" si="18"/>
        <v>1</v>
      </c>
      <c r="I51" s="87" t="str" cm="1">
        <f t="array" ref="I51">IFERROR(INDEX('Budget Planning'!$C:$C,header_row_id),"")</f>
        <v/>
      </c>
      <c r="J51" s="86" t="str" cm="1">
        <f t="array" ref="J51">IFERROR(INDEX('Budget Planning'!$C:$C,row_id),"")</f>
        <v/>
      </c>
      <c r="K51" s="89" t="str" cm="1">
        <f t="array" ref="K5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1" s="90" t="str" cm="1">
        <f t="array" ref="L51">IF(OR(is_header,is_empty),"",
INDEX('Budget Planning'!$E:$FA,row_id,
MATCH(IF(selected_period="Jahresübersicht",selected_year,DATE(selected_year,selected_period,1)),'Budget Planning'!$E$9:$FA$9,0)))</f>
        <v/>
      </c>
      <c r="M51" s="91" t="str" cm="1">
        <f t="array" ref="M5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1" s="92" t="str" cm="1">
        <f t="array" ref="N5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1" s="91" t="str">
        <f t="shared" si="19"/>
        <v/>
      </c>
      <c r="P51" s="6" t="str">
        <f t="shared" ca="1" si="20"/>
        <v/>
      </c>
      <c r="Q51" s="6" t="str">
        <f t="shared" si="21"/>
        <v/>
      </c>
      <c r="R51" s="92" t="str">
        <f t="shared" ca="1" si="22"/>
        <v/>
      </c>
      <c r="S51" s="91" t="str">
        <f t="shared" si="23"/>
        <v/>
      </c>
      <c r="T51" s="6" t="str">
        <f t="shared" si="24"/>
        <v/>
      </c>
      <c r="U51" s="6" t="str">
        <f t="shared" ca="1" si="25"/>
        <v/>
      </c>
      <c r="V51" s="6" t="str">
        <f t="shared" si="26"/>
        <v/>
      </c>
      <c r="W51" s="6" t="str">
        <f t="shared" ca="1" si="27"/>
        <v/>
      </c>
      <c r="X51" s="93">
        <f t="shared" si="28"/>
        <v>-1</v>
      </c>
      <c r="Y51" s="86" t="str">
        <f t="shared" si="29"/>
        <v/>
      </c>
      <c r="Z51" s="95" t="str">
        <f t="shared" si="30"/>
        <v/>
      </c>
      <c r="AA51" s="95" t="str">
        <f t="shared" si="31"/>
        <v/>
      </c>
      <c r="AB51" s="94" t="str" cm="1">
        <f t="array" ref="AB51">IF(is_empty,"",IF(is_header,"% Compl.", IFERROR(out_tracked/out_budget,"-")))</f>
        <v/>
      </c>
      <c r="AC51" s="95" t="str" cm="1">
        <f t="array" ref="AC51">IF(is_empty,"", IF(is_header, "Remaining", IF(out_budget - out_tracked &gt; 0, out_budget - out_tracked,0)))</f>
        <v/>
      </c>
      <c r="AD51" s="95" t="str">
        <f t="shared" si="32"/>
        <v/>
      </c>
    </row>
    <row r="52" spans="3:30" x14ac:dyDescent="0.3">
      <c r="C52" s="87" cm="1">
        <f t="array" ref="C52">IF(C51=-1,-1,
  IF(C51&lt;Einkommen_Max_Row,C51+1,
   IF(C51=Einkommen_Max_Row,Einkommen_Total_Row,
    IF(C51=Einkommen_Total_Row,"/1",
     IF(C51="/1",Fixkosten_Header_Row,
      IF(C51&lt;Fixkosten_Max_Row,C51+1,
       IF(C51=Fixkosten_Max_Row,Fixkosten_Total_Row,
        IF(C51=Fixkosten_Total_Row,"/2",
         IF(C51="/2",Variablekosten_Header_Row,
          IF(C51&lt;Variablekosten_Max_Row,C51+1,
           IF(C51=Variablekosten_Max_Row,Variablekosten_Total_row,
            IF(C51=Variablekosten_Total_row,"/3",
             IF(C51="/3",Investment_Header_Row,
              IF(C51&lt;Investment_Max_Row,C51+1,
               IF(C51=Investment_Max_Row,Investment_Total_Row,-1)))))))))))))))</f>
        <v>-1</v>
      </c>
      <c r="D52" s="88">
        <f t="shared" si="33"/>
        <v>-1</v>
      </c>
      <c r="E52" s="87" cm="1">
        <f t="array" ref="E52">1*OR(row_id=Einkommen_Header_Row,row_id=Fixkosten_Header_Row,row_id=Variablekosten_Header_Row,row_id=Investment_Header_Row)</f>
        <v>0</v>
      </c>
      <c r="F52" s="86">
        <f t="shared" si="17"/>
        <v>0</v>
      </c>
      <c r="G52" s="86" cm="1">
        <f t="array" ref="G52">1*OR(row_id=Einkommen_Total_Row,row_id=Fixkosten_Total_Row,row_id=Variablekosten_Total_row,row_id=Investment_Total_Row)</f>
        <v>0</v>
      </c>
      <c r="H52" s="86">
        <f t="shared" si="18"/>
        <v>1</v>
      </c>
      <c r="I52" s="87" t="str" cm="1">
        <f t="array" ref="I52">IFERROR(INDEX('Budget Planning'!$C:$C,header_row_id),"")</f>
        <v/>
      </c>
      <c r="J52" s="86" t="str" cm="1">
        <f t="array" ref="J52">IFERROR(INDEX('Budget Planning'!$C:$C,row_id),"")</f>
        <v/>
      </c>
      <c r="K52" s="89" t="str" cm="1">
        <f t="array" ref="K52">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2" s="90" t="str" cm="1">
        <f t="array" ref="L52">IF(OR(is_header,is_empty),"",
INDEX('Budget Planning'!$E:$FA,row_id,
MATCH(IF(selected_period="Jahresübersicht",selected_year,DATE(selected_year,selected_period,1)),'Budget Planning'!$E$9:$FA$9,0)))</f>
        <v/>
      </c>
      <c r="M52" s="91" t="str" cm="1">
        <f t="array" ref="M5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2" s="92" t="str" cm="1">
        <f t="array" ref="N5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2" s="91" t="str">
        <f t="shared" si="19"/>
        <v/>
      </c>
      <c r="P52" s="6" t="str">
        <f t="shared" ca="1" si="20"/>
        <v/>
      </c>
      <c r="Q52" s="6" t="str">
        <f t="shared" si="21"/>
        <v/>
      </c>
      <c r="R52" s="92" t="str">
        <f t="shared" ca="1" si="22"/>
        <v/>
      </c>
      <c r="S52" s="91" t="str">
        <f t="shared" si="23"/>
        <v/>
      </c>
      <c r="T52" s="6" t="str">
        <f t="shared" si="24"/>
        <v/>
      </c>
      <c r="U52" s="6" t="str">
        <f t="shared" ca="1" si="25"/>
        <v/>
      </c>
      <c r="V52" s="6" t="str">
        <f t="shared" si="26"/>
        <v/>
      </c>
      <c r="W52" s="6" t="str">
        <f t="shared" ca="1" si="27"/>
        <v/>
      </c>
      <c r="X52" s="93">
        <f t="shared" si="28"/>
        <v>-1</v>
      </c>
      <c r="Y52" s="86" t="str">
        <f t="shared" si="29"/>
        <v/>
      </c>
      <c r="Z52" s="95" t="str">
        <f t="shared" si="30"/>
        <v/>
      </c>
      <c r="AA52" s="95" t="str">
        <f t="shared" si="31"/>
        <v/>
      </c>
      <c r="AB52" s="94" t="str" cm="1">
        <f t="array" ref="AB52">IF(is_empty,"",IF(is_header,"% Compl.", IFERROR(out_tracked/out_budget,"-")))</f>
        <v/>
      </c>
      <c r="AC52" s="95" t="str" cm="1">
        <f t="array" ref="AC52">IF(is_empty,"", IF(is_header, "Remaining", IF(out_budget - out_tracked &gt; 0, out_budget - out_tracked,0)))</f>
        <v/>
      </c>
      <c r="AD52" s="95" t="str">
        <f t="shared" si="32"/>
        <v/>
      </c>
    </row>
    <row r="53" spans="3:30" x14ac:dyDescent="0.3">
      <c r="C53" s="87" cm="1">
        <f t="array" ref="C53">IF(C52=-1,-1,
  IF(C52&lt;Einkommen_Max_Row,C52+1,
   IF(C52=Einkommen_Max_Row,Einkommen_Total_Row,
    IF(C52=Einkommen_Total_Row,"/1",
     IF(C52="/1",Fixkosten_Header_Row,
      IF(C52&lt;Fixkosten_Max_Row,C52+1,
       IF(C52=Fixkosten_Max_Row,Fixkosten_Total_Row,
        IF(C52=Fixkosten_Total_Row,"/2",
         IF(C52="/2",Variablekosten_Header_Row,
          IF(C52&lt;Variablekosten_Max_Row,C52+1,
           IF(C52=Variablekosten_Max_Row,Variablekosten_Total_row,
            IF(C52=Variablekosten_Total_row,"/3",
             IF(C52="/3",Investment_Header_Row,
              IF(C52&lt;Investment_Max_Row,C52+1,
               IF(C52=Investment_Max_Row,Investment_Total_Row,-1)))))))))))))))</f>
        <v>-1</v>
      </c>
      <c r="D53" s="88">
        <f t="shared" si="33"/>
        <v>-1</v>
      </c>
      <c r="E53" s="87" cm="1">
        <f t="array" ref="E53">1*OR(row_id=Einkommen_Header_Row,row_id=Fixkosten_Header_Row,row_id=Variablekosten_Header_Row,row_id=Investment_Header_Row)</f>
        <v>0</v>
      </c>
      <c r="F53" s="86">
        <f t="shared" si="17"/>
        <v>0</v>
      </c>
      <c r="G53" s="86" cm="1">
        <f t="array" ref="G53">1*OR(row_id=Einkommen_Total_Row,row_id=Fixkosten_Total_Row,row_id=Variablekosten_Total_row,row_id=Investment_Total_Row)</f>
        <v>0</v>
      </c>
      <c r="H53" s="86">
        <f t="shared" si="18"/>
        <v>1</v>
      </c>
      <c r="I53" s="87" t="str" cm="1">
        <f t="array" ref="I53">IFERROR(INDEX('Budget Planning'!$C:$C,header_row_id),"")</f>
        <v/>
      </c>
      <c r="J53" s="86" t="str" cm="1">
        <f t="array" ref="J53">IFERROR(INDEX('Budget Planning'!$C:$C,row_id),"")</f>
        <v/>
      </c>
      <c r="K53" s="89" t="str" cm="1">
        <f t="array" ref="K5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3" s="90" t="str" cm="1">
        <f t="array" ref="L53">IF(OR(is_header,is_empty),"",
INDEX('Budget Planning'!$E:$FA,row_id,
MATCH(IF(selected_period="Jahresübersicht",selected_year,DATE(selected_year,selected_period,1)),'Budget Planning'!$E$9:$FA$9,0)))</f>
        <v/>
      </c>
      <c r="M53" s="91" t="str" cm="1">
        <f t="array" ref="M5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3" s="92" t="str" cm="1">
        <f t="array" ref="N5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3" s="91" t="str">
        <f t="shared" si="19"/>
        <v/>
      </c>
      <c r="P53" s="6" t="str">
        <f t="shared" ca="1" si="20"/>
        <v/>
      </c>
      <c r="Q53" s="6" t="str">
        <f t="shared" si="21"/>
        <v/>
      </c>
      <c r="R53" s="92" t="str">
        <f t="shared" ca="1" si="22"/>
        <v/>
      </c>
      <c r="S53" s="91" t="str">
        <f t="shared" si="23"/>
        <v/>
      </c>
      <c r="T53" s="6" t="str">
        <f t="shared" si="24"/>
        <v/>
      </c>
      <c r="U53" s="6" t="str">
        <f t="shared" ca="1" si="25"/>
        <v/>
      </c>
      <c r="V53" s="6" t="str">
        <f t="shared" si="26"/>
        <v/>
      </c>
      <c r="W53" s="6" t="str">
        <f t="shared" ca="1" si="27"/>
        <v/>
      </c>
      <c r="X53" s="93">
        <f t="shared" si="28"/>
        <v>-1</v>
      </c>
      <c r="Y53" s="86" t="str">
        <f t="shared" si="29"/>
        <v/>
      </c>
      <c r="Z53" s="95" t="str">
        <f t="shared" si="30"/>
        <v/>
      </c>
      <c r="AA53" s="95" t="str">
        <f t="shared" si="31"/>
        <v/>
      </c>
      <c r="AB53" s="94" t="str" cm="1">
        <f t="array" ref="AB53">IF(is_empty,"",IF(is_header,"% Compl.", IFERROR(out_tracked/out_budget,"-")))</f>
        <v/>
      </c>
      <c r="AC53" s="95" t="str" cm="1">
        <f t="array" ref="AC53">IF(is_empty,"", IF(is_header, "Remaining", IF(out_budget - out_tracked &gt; 0, out_budget - out_tracked,0)))</f>
        <v/>
      </c>
      <c r="AD53" s="95" t="str">
        <f t="shared" si="32"/>
        <v/>
      </c>
    </row>
    <row r="54" spans="3:30" x14ac:dyDescent="0.3">
      <c r="C54" s="87" cm="1">
        <f t="array" ref="C54">IF(C53=-1,-1,
  IF(C53&lt;Einkommen_Max_Row,C53+1,
   IF(C53=Einkommen_Max_Row,Einkommen_Total_Row,
    IF(C53=Einkommen_Total_Row,"/1",
     IF(C53="/1",Fixkosten_Header_Row,
      IF(C53&lt;Fixkosten_Max_Row,C53+1,
       IF(C53=Fixkosten_Max_Row,Fixkosten_Total_Row,
        IF(C53=Fixkosten_Total_Row,"/2",
         IF(C53="/2",Variablekosten_Header_Row,
          IF(C53&lt;Variablekosten_Max_Row,C53+1,
           IF(C53=Variablekosten_Max_Row,Variablekosten_Total_row,
            IF(C53=Variablekosten_Total_row,"/3",
             IF(C53="/3",Investment_Header_Row,
              IF(C53&lt;Investment_Max_Row,C53+1,
               IF(C53=Investment_Max_Row,Investment_Total_Row,-1)))))))))))))))</f>
        <v>-1</v>
      </c>
      <c r="D54" s="88">
        <f t="shared" si="33"/>
        <v>-1</v>
      </c>
      <c r="E54" s="87" cm="1">
        <f t="array" ref="E54">1*OR(row_id=Einkommen_Header_Row,row_id=Fixkosten_Header_Row,row_id=Variablekosten_Header_Row,row_id=Investment_Header_Row)</f>
        <v>0</v>
      </c>
      <c r="F54" s="86">
        <f t="shared" si="17"/>
        <v>0</v>
      </c>
      <c r="G54" s="86" cm="1">
        <f t="array" ref="G54">1*OR(row_id=Einkommen_Total_Row,row_id=Fixkosten_Total_Row,row_id=Variablekosten_Total_row,row_id=Investment_Total_Row)</f>
        <v>0</v>
      </c>
      <c r="H54" s="86">
        <f t="shared" si="18"/>
        <v>1</v>
      </c>
      <c r="I54" s="87" t="str" cm="1">
        <f t="array" ref="I54">IFERROR(INDEX('Budget Planning'!$C:$C,header_row_id),"")</f>
        <v/>
      </c>
      <c r="J54" s="86" t="str" cm="1">
        <f t="array" ref="J54">IFERROR(INDEX('Budget Planning'!$C:$C,row_id),"")</f>
        <v/>
      </c>
      <c r="K54" s="89" t="str" cm="1">
        <f t="array" ref="K54">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4" s="90" t="str" cm="1">
        <f t="array" ref="L54">IF(OR(is_header,is_empty),"",
INDEX('Budget Planning'!$E:$FA,row_id,
MATCH(IF(selected_period="Jahresübersicht",selected_year,DATE(selected_year,selected_period,1)),'Budget Planning'!$E$9:$FA$9,0)))</f>
        <v/>
      </c>
      <c r="M54" s="91" t="str" cm="1">
        <f t="array" ref="M54">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4" s="92" t="str" cm="1">
        <f t="array" ref="N54">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4" s="91" t="str">
        <f t="shared" si="19"/>
        <v/>
      </c>
      <c r="P54" s="6" t="str">
        <f t="shared" ca="1" si="20"/>
        <v/>
      </c>
      <c r="Q54" s="6" t="str">
        <f t="shared" si="21"/>
        <v/>
      </c>
      <c r="R54" s="92" t="str">
        <f t="shared" ca="1" si="22"/>
        <v/>
      </c>
      <c r="S54" s="91" t="str">
        <f t="shared" si="23"/>
        <v/>
      </c>
      <c r="T54" s="6" t="str">
        <f t="shared" si="24"/>
        <v/>
      </c>
      <c r="U54" s="6" t="str">
        <f t="shared" ca="1" si="25"/>
        <v/>
      </c>
      <c r="V54" s="6" t="str">
        <f t="shared" si="26"/>
        <v/>
      </c>
      <c r="W54" s="6" t="str">
        <f t="shared" ca="1" si="27"/>
        <v/>
      </c>
      <c r="X54" s="93">
        <f t="shared" si="28"/>
        <v>-1</v>
      </c>
      <c r="Y54" s="86" t="str">
        <f t="shared" si="29"/>
        <v/>
      </c>
      <c r="Z54" s="95" t="str">
        <f t="shared" si="30"/>
        <v/>
      </c>
      <c r="AA54" s="95" t="str">
        <f t="shared" si="31"/>
        <v/>
      </c>
      <c r="AB54" s="94" t="str" cm="1">
        <f t="array" ref="AB54">IF(is_empty,"",IF(is_header,"% Compl.", IFERROR(out_tracked/out_budget,"-")))</f>
        <v/>
      </c>
      <c r="AC54" s="95" t="str" cm="1">
        <f t="array" ref="AC54">IF(is_empty,"", IF(is_header, "Remaining", IF(out_budget - out_tracked &gt; 0, out_budget - out_tracked,0)))</f>
        <v/>
      </c>
      <c r="AD54" s="95" t="str">
        <f t="shared" si="32"/>
        <v/>
      </c>
    </row>
    <row r="55" spans="3:30" x14ac:dyDescent="0.3">
      <c r="C55" s="87" cm="1">
        <f t="array" ref="C55">IF(C54=-1,-1,
  IF(C54&lt;Einkommen_Max_Row,C54+1,
   IF(C54=Einkommen_Max_Row,Einkommen_Total_Row,
    IF(C54=Einkommen_Total_Row,"/1",
     IF(C54="/1",Fixkosten_Header_Row,
      IF(C54&lt;Fixkosten_Max_Row,C54+1,
       IF(C54=Fixkosten_Max_Row,Fixkosten_Total_Row,
        IF(C54=Fixkosten_Total_Row,"/2",
         IF(C54="/2",Variablekosten_Header_Row,
          IF(C54&lt;Variablekosten_Max_Row,C54+1,
           IF(C54=Variablekosten_Max_Row,Variablekosten_Total_row,
            IF(C54=Variablekosten_Total_row,"/3",
             IF(C54="/3",Investment_Header_Row,
              IF(C54&lt;Investment_Max_Row,C54+1,
               IF(C54=Investment_Max_Row,Investment_Total_Row,-1)))))))))))))))</f>
        <v>-1</v>
      </c>
      <c r="D55" s="88">
        <f t="shared" si="33"/>
        <v>-1</v>
      </c>
      <c r="E55" s="87" cm="1">
        <f t="array" ref="E55">1*OR(row_id=Einkommen_Header_Row,row_id=Fixkosten_Header_Row,row_id=Variablekosten_Header_Row,row_id=Investment_Header_Row)</f>
        <v>0</v>
      </c>
      <c r="F55" s="86">
        <f t="shared" si="17"/>
        <v>0</v>
      </c>
      <c r="G55" s="86" cm="1">
        <f t="array" ref="G55">1*OR(row_id=Einkommen_Total_Row,row_id=Fixkosten_Total_Row,row_id=Variablekosten_Total_row,row_id=Investment_Total_Row)</f>
        <v>0</v>
      </c>
      <c r="H55" s="86">
        <f t="shared" si="18"/>
        <v>1</v>
      </c>
      <c r="I55" s="87" t="str" cm="1">
        <f t="array" ref="I55">IFERROR(INDEX('Budget Planning'!$C:$C,header_row_id),"")</f>
        <v/>
      </c>
      <c r="J55" s="86" t="str" cm="1">
        <f t="array" ref="J55">IFERROR(INDEX('Budget Planning'!$C:$C,row_id),"")</f>
        <v/>
      </c>
      <c r="K55" s="89" t="str" cm="1">
        <f t="array" ref="K55">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5" s="90" t="str" cm="1">
        <f t="array" ref="L55">IF(OR(is_header,is_empty),"",
INDEX('Budget Planning'!$E:$FA,row_id,
MATCH(IF(selected_period="Jahresübersicht",selected_year,DATE(selected_year,selected_period,1)),'Budget Planning'!$E$9:$FA$9,0)))</f>
        <v/>
      </c>
      <c r="M55" s="91" t="str" cm="1">
        <f t="array" ref="M55">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5" s="92" t="str" cm="1">
        <f t="array" ref="N55">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5" s="91" t="str">
        <f t="shared" si="19"/>
        <v/>
      </c>
      <c r="P55" s="6" t="str">
        <f t="shared" ca="1" si="20"/>
        <v/>
      </c>
      <c r="Q55" s="6" t="str">
        <f t="shared" si="21"/>
        <v/>
      </c>
      <c r="R55" s="92" t="str">
        <f t="shared" ca="1" si="22"/>
        <v/>
      </c>
      <c r="S55" s="91" t="str">
        <f t="shared" si="23"/>
        <v/>
      </c>
      <c r="T55" s="6" t="str">
        <f t="shared" si="24"/>
        <v/>
      </c>
      <c r="U55" s="6" t="str">
        <f t="shared" ca="1" si="25"/>
        <v/>
      </c>
      <c r="V55" s="6" t="str">
        <f t="shared" si="26"/>
        <v/>
      </c>
      <c r="W55" s="6" t="str">
        <f t="shared" ca="1" si="27"/>
        <v/>
      </c>
      <c r="X55" s="93">
        <f t="shared" si="28"/>
        <v>-1</v>
      </c>
      <c r="Y55" s="86" t="str">
        <f t="shared" si="29"/>
        <v/>
      </c>
      <c r="Z55" s="95" t="str">
        <f t="shared" si="30"/>
        <v/>
      </c>
      <c r="AA55" s="95" t="str">
        <f t="shared" si="31"/>
        <v/>
      </c>
      <c r="AB55" s="94" t="str" cm="1">
        <f t="array" ref="AB55">IF(is_empty,"",IF(is_header,"% Compl.", IFERROR(out_tracked/out_budget,"-")))</f>
        <v/>
      </c>
      <c r="AC55" s="95" t="str" cm="1">
        <f t="array" ref="AC55">IF(is_empty,"", IF(is_header, "Remaining", IF(out_budget - out_tracked &gt; 0, out_budget - out_tracked,0)))</f>
        <v/>
      </c>
      <c r="AD55" s="95" t="str">
        <f t="shared" si="32"/>
        <v/>
      </c>
    </row>
    <row r="56" spans="3:30" x14ac:dyDescent="0.3">
      <c r="C56" s="87" cm="1">
        <f t="array" ref="C56">IF(C55=-1,-1,
  IF(C55&lt;Einkommen_Max_Row,C55+1,
   IF(C55=Einkommen_Max_Row,Einkommen_Total_Row,
    IF(C55=Einkommen_Total_Row,"/1",
     IF(C55="/1",Fixkosten_Header_Row,
      IF(C55&lt;Fixkosten_Max_Row,C55+1,
       IF(C55=Fixkosten_Max_Row,Fixkosten_Total_Row,
        IF(C55=Fixkosten_Total_Row,"/2",
         IF(C55="/2",Variablekosten_Header_Row,
          IF(C55&lt;Variablekosten_Max_Row,C55+1,
           IF(C55=Variablekosten_Max_Row,Variablekosten_Total_row,
            IF(C55=Variablekosten_Total_row,"/3",
             IF(C55="/3",Investment_Header_Row,
              IF(C55&lt;Investment_Max_Row,C55+1,
               IF(C55=Investment_Max_Row,Investment_Total_Row,-1)))))))))))))))</f>
        <v>-1</v>
      </c>
      <c r="D56" s="88">
        <f t="shared" si="33"/>
        <v>-1</v>
      </c>
      <c r="E56" s="87" cm="1">
        <f t="array" ref="E56">1*OR(row_id=Einkommen_Header_Row,row_id=Fixkosten_Header_Row,row_id=Variablekosten_Header_Row,row_id=Investment_Header_Row)</f>
        <v>0</v>
      </c>
      <c r="F56" s="86">
        <f t="shared" si="17"/>
        <v>0</v>
      </c>
      <c r="G56" s="86" cm="1">
        <f t="array" ref="G56">1*OR(row_id=Einkommen_Total_Row,row_id=Fixkosten_Total_Row,row_id=Variablekosten_Total_row,row_id=Investment_Total_Row)</f>
        <v>0</v>
      </c>
      <c r="H56" s="86">
        <f t="shared" si="18"/>
        <v>1</v>
      </c>
      <c r="I56" s="87" t="str" cm="1">
        <f t="array" ref="I56">IFERROR(INDEX('Budget Planning'!$C:$C,header_row_id),"")</f>
        <v/>
      </c>
      <c r="J56" s="86" t="str" cm="1">
        <f t="array" ref="J56">IFERROR(INDEX('Budget Planning'!$C:$C,row_id),"")</f>
        <v/>
      </c>
      <c r="K56" s="89" t="str" cm="1">
        <f t="array" ref="K56">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6" s="90" t="str" cm="1">
        <f t="array" ref="L56">IF(OR(is_header,is_empty),"",
INDEX('Budget Planning'!$E:$FA,row_id,
MATCH(IF(selected_period="Jahresübersicht",selected_year,DATE(selected_year,selected_period,1)),'Budget Planning'!$E$9:$FA$9,0)))</f>
        <v/>
      </c>
      <c r="M56" s="91" t="str" cm="1">
        <f t="array" ref="M56">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6" s="92" t="str" cm="1">
        <f t="array" ref="N56">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6" s="91" t="str">
        <f t="shared" si="19"/>
        <v/>
      </c>
      <c r="P56" s="6" t="str">
        <f t="shared" ca="1" si="20"/>
        <v/>
      </c>
      <c r="Q56" s="6" t="str">
        <f t="shared" si="21"/>
        <v/>
      </c>
      <c r="R56" s="92" t="str">
        <f t="shared" ca="1" si="22"/>
        <v/>
      </c>
      <c r="S56" s="91" t="str">
        <f t="shared" si="23"/>
        <v/>
      </c>
      <c r="T56" s="6" t="str">
        <f t="shared" si="24"/>
        <v/>
      </c>
      <c r="U56" s="6" t="str">
        <f t="shared" ca="1" si="25"/>
        <v/>
      </c>
      <c r="V56" s="6" t="str">
        <f t="shared" si="26"/>
        <v/>
      </c>
      <c r="W56" s="6" t="str">
        <f t="shared" ca="1" si="27"/>
        <v/>
      </c>
      <c r="X56" s="93">
        <f t="shared" si="28"/>
        <v>-1</v>
      </c>
      <c r="Y56" s="86" t="str">
        <f t="shared" si="29"/>
        <v/>
      </c>
      <c r="Z56" s="95" t="str">
        <f t="shared" si="30"/>
        <v/>
      </c>
      <c r="AA56" s="95" t="str">
        <f t="shared" si="31"/>
        <v/>
      </c>
      <c r="AB56" s="94" t="str" cm="1">
        <f t="array" ref="AB56">IF(is_empty,"",IF(is_header,"% Compl.", IFERROR(out_tracked/out_budget,"-")))</f>
        <v/>
      </c>
      <c r="AC56" s="95" t="str" cm="1">
        <f t="array" ref="AC56">IF(is_empty,"", IF(is_header, "Remaining", IF(out_budget - out_tracked &gt; 0, out_budget - out_tracked,0)))</f>
        <v/>
      </c>
      <c r="AD56" s="95" t="str">
        <f t="shared" si="32"/>
        <v/>
      </c>
    </row>
    <row r="57" spans="3:30" x14ac:dyDescent="0.3">
      <c r="C57" s="87" cm="1">
        <f t="array" ref="C57">IF(C56=-1,-1,
  IF(C56&lt;Einkommen_Max_Row,C56+1,
   IF(C56=Einkommen_Max_Row,Einkommen_Total_Row,
    IF(C56=Einkommen_Total_Row,"/1",
     IF(C56="/1",Fixkosten_Header_Row,
      IF(C56&lt;Fixkosten_Max_Row,C56+1,
       IF(C56=Fixkosten_Max_Row,Fixkosten_Total_Row,
        IF(C56=Fixkosten_Total_Row,"/2",
         IF(C56="/2",Variablekosten_Header_Row,
          IF(C56&lt;Variablekosten_Max_Row,C56+1,
           IF(C56=Variablekosten_Max_Row,Variablekosten_Total_row,
            IF(C56=Variablekosten_Total_row,"/3",
             IF(C56="/3",Investment_Header_Row,
              IF(C56&lt;Investment_Max_Row,C56+1,
               IF(C56=Investment_Max_Row,Investment_Total_Row,-1)))))))))))))))</f>
        <v>-1</v>
      </c>
      <c r="D57" s="88">
        <f t="shared" si="33"/>
        <v>-1</v>
      </c>
      <c r="E57" s="87" cm="1">
        <f t="array" ref="E57">1*OR(row_id=Einkommen_Header_Row,row_id=Fixkosten_Header_Row,row_id=Variablekosten_Header_Row,row_id=Investment_Header_Row)</f>
        <v>0</v>
      </c>
      <c r="F57" s="86">
        <f t="shared" si="17"/>
        <v>0</v>
      </c>
      <c r="G57" s="86" cm="1">
        <f t="array" ref="G57">1*OR(row_id=Einkommen_Total_Row,row_id=Fixkosten_Total_Row,row_id=Variablekosten_Total_row,row_id=Investment_Total_Row)</f>
        <v>0</v>
      </c>
      <c r="H57" s="86">
        <f t="shared" si="18"/>
        <v>1</v>
      </c>
      <c r="I57" s="87" t="str" cm="1">
        <f t="array" ref="I57">IFERROR(INDEX('Budget Planning'!$C:$C,header_row_id),"")</f>
        <v/>
      </c>
      <c r="J57" s="86" t="str" cm="1">
        <f t="array" ref="J57">IFERROR(INDEX('Budget Planning'!$C:$C,row_id),"")</f>
        <v/>
      </c>
      <c r="K57" s="89" t="str" cm="1">
        <f t="array" ref="K57">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7" s="90" t="str" cm="1">
        <f t="array" ref="L57">IF(OR(is_header,is_empty),"",
INDEX('Budget Planning'!$E:$FA,row_id,
MATCH(IF(selected_period="Jahresübersicht",selected_year,DATE(selected_year,selected_period,1)),'Budget Planning'!$E$9:$FA$9,0)))</f>
        <v/>
      </c>
      <c r="M57" s="91" t="str" cm="1">
        <f t="array" ref="M57">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7" s="92" t="str" cm="1">
        <f t="array" ref="N57">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7" s="91" t="str">
        <f t="shared" si="19"/>
        <v/>
      </c>
      <c r="P57" s="6" t="str">
        <f t="shared" ca="1" si="20"/>
        <v/>
      </c>
      <c r="Q57" s="6" t="str">
        <f t="shared" si="21"/>
        <v/>
      </c>
      <c r="R57" s="92" t="str">
        <f t="shared" ca="1" si="22"/>
        <v/>
      </c>
      <c r="S57" s="91" t="str">
        <f t="shared" si="23"/>
        <v/>
      </c>
      <c r="T57" s="6" t="str">
        <f t="shared" si="24"/>
        <v/>
      </c>
      <c r="U57" s="6" t="str">
        <f t="shared" ca="1" si="25"/>
        <v/>
      </c>
      <c r="V57" s="6" t="str">
        <f t="shared" si="26"/>
        <v/>
      </c>
      <c r="W57" s="6" t="str">
        <f t="shared" ca="1" si="27"/>
        <v/>
      </c>
      <c r="X57" s="93">
        <f t="shared" si="28"/>
        <v>-1</v>
      </c>
      <c r="Y57" s="86" t="str">
        <f t="shared" si="29"/>
        <v/>
      </c>
      <c r="Z57" s="95" t="str">
        <f t="shared" si="30"/>
        <v/>
      </c>
      <c r="AA57" s="95" t="str">
        <f t="shared" si="31"/>
        <v/>
      </c>
      <c r="AB57" s="94" t="str" cm="1">
        <f t="array" ref="AB57">IF(is_empty,"",IF(is_header,"% Compl.", IFERROR(out_tracked/out_budget,"-")))</f>
        <v/>
      </c>
      <c r="AC57" s="95" t="str" cm="1">
        <f t="array" ref="AC57">IF(is_empty,"", IF(is_header, "Remaining", IF(out_budget - out_tracked &gt; 0, out_budget - out_tracked,0)))</f>
        <v/>
      </c>
      <c r="AD57" s="95" t="str">
        <f t="shared" si="32"/>
        <v/>
      </c>
    </row>
    <row r="58" spans="3:30" x14ac:dyDescent="0.3">
      <c r="C58" s="87" cm="1">
        <f t="array" ref="C58">IF(C57=-1,-1,
  IF(C57&lt;Einkommen_Max_Row,C57+1,
   IF(C57=Einkommen_Max_Row,Einkommen_Total_Row,
    IF(C57=Einkommen_Total_Row,"/1",
     IF(C57="/1",Fixkosten_Header_Row,
      IF(C57&lt;Fixkosten_Max_Row,C57+1,
       IF(C57=Fixkosten_Max_Row,Fixkosten_Total_Row,
        IF(C57=Fixkosten_Total_Row,"/2",
         IF(C57="/2",Variablekosten_Header_Row,
          IF(C57&lt;Variablekosten_Max_Row,C57+1,
           IF(C57=Variablekosten_Max_Row,Variablekosten_Total_row,
            IF(C57=Variablekosten_Total_row,"/3",
             IF(C57="/3",Investment_Header_Row,
              IF(C57&lt;Investment_Max_Row,C57+1,
               IF(C57=Investment_Max_Row,Investment_Total_Row,-1)))))))))))))))</f>
        <v>-1</v>
      </c>
      <c r="D58" s="88">
        <f t="shared" si="33"/>
        <v>-1</v>
      </c>
      <c r="E58" s="87" cm="1">
        <f t="array" ref="E58">1*OR(row_id=Einkommen_Header_Row,row_id=Fixkosten_Header_Row,row_id=Variablekosten_Header_Row,row_id=Investment_Header_Row)</f>
        <v>0</v>
      </c>
      <c r="F58" s="86">
        <f t="shared" si="17"/>
        <v>0</v>
      </c>
      <c r="G58" s="86" cm="1">
        <f t="array" ref="G58">1*OR(row_id=Einkommen_Total_Row,row_id=Fixkosten_Total_Row,row_id=Variablekosten_Total_row,row_id=Investment_Total_Row)</f>
        <v>0</v>
      </c>
      <c r="H58" s="86">
        <f t="shared" si="18"/>
        <v>1</v>
      </c>
      <c r="I58" s="87" t="str" cm="1">
        <f t="array" ref="I58">IFERROR(INDEX('Budget Planning'!$C:$C,header_row_id),"")</f>
        <v/>
      </c>
      <c r="J58" s="86" t="str" cm="1">
        <f t="array" ref="J58">IFERROR(INDEX('Budget Planning'!$C:$C,row_id),"")</f>
        <v/>
      </c>
      <c r="K58" s="89" t="str" cm="1">
        <f t="array" ref="K58">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8" s="90" t="str" cm="1">
        <f t="array" ref="L58">IF(OR(is_header,is_empty),"",
INDEX('Budget Planning'!$E:$FA,row_id,
MATCH(IF(selected_period="Jahresübersicht",selected_year,DATE(selected_year,selected_period,1)),'Budget Planning'!$E$9:$FA$9,0)))</f>
        <v/>
      </c>
      <c r="M58" s="91" t="str" cm="1">
        <f t="array" ref="M58">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8" s="92" t="str" cm="1">
        <f t="array" ref="N58">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8" s="91" t="str">
        <f t="shared" si="19"/>
        <v/>
      </c>
      <c r="P58" s="6" t="str">
        <f t="shared" ca="1" si="20"/>
        <v/>
      </c>
      <c r="Q58" s="6" t="str">
        <f t="shared" si="21"/>
        <v/>
      </c>
      <c r="R58" s="92" t="str">
        <f t="shared" ca="1" si="22"/>
        <v/>
      </c>
      <c r="S58" s="91" t="str">
        <f t="shared" si="23"/>
        <v/>
      </c>
      <c r="T58" s="6" t="str">
        <f t="shared" si="24"/>
        <v/>
      </c>
      <c r="U58" s="6" t="str">
        <f t="shared" ca="1" si="25"/>
        <v/>
      </c>
      <c r="V58" s="6" t="str">
        <f t="shared" si="26"/>
        <v/>
      </c>
      <c r="W58" s="6" t="str">
        <f t="shared" ca="1" si="27"/>
        <v/>
      </c>
      <c r="X58" s="93">
        <f t="shared" si="28"/>
        <v>-1</v>
      </c>
      <c r="Y58" s="86" t="str">
        <f t="shared" si="29"/>
        <v/>
      </c>
      <c r="Z58" s="95" t="str">
        <f t="shared" si="30"/>
        <v/>
      </c>
      <c r="AA58" s="95" t="str">
        <f t="shared" si="31"/>
        <v/>
      </c>
      <c r="AB58" s="94" t="str" cm="1">
        <f t="array" ref="AB58">IF(is_empty,"",IF(is_header,"% Compl.", IFERROR(out_tracked/out_budget,"-")))</f>
        <v/>
      </c>
      <c r="AC58" s="95" t="str" cm="1">
        <f t="array" ref="AC58">IF(is_empty,"", IF(is_header, "Remaining", IF(out_budget - out_tracked &gt; 0, out_budget - out_tracked,0)))</f>
        <v/>
      </c>
      <c r="AD58" s="95" t="str">
        <f t="shared" si="32"/>
        <v/>
      </c>
    </row>
    <row r="59" spans="3:30" x14ac:dyDescent="0.3">
      <c r="C59" s="87" cm="1">
        <f t="array" ref="C59">IF(C58=-1,-1,
  IF(C58&lt;Einkommen_Max_Row,C58+1,
   IF(C58=Einkommen_Max_Row,Einkommen_Total_Row,
    IF(C58=Einkommen_Total_Row,"/1",
     IF(C58="/1",Fixkosten_Header_Row,
      IF(C58&lt;Fixkosten_Max_Row,C58+1,
       IF(C58=Fixkosten_Max_Row,Fixkosten_Total_Row,
        IF(C58=Fixkosten_Total_Row,"/2",
         IF(C58="/2",Variablekosten_Header_Row,
          IF(C58&lt;Variablekosten_Max_Row,C58+1,
           IF(C58=Variablekosten_Max_Row,Variablekosten_Total_row,
            IF(C58=Variablekosten_Total_row,"/3",
             IF(C58="/3",Investment_Header_Row,
              IF(C58&lt;Investment_Max_Row,C58+1,
               IF(C58=Investment_Max_Row,Investment_Total_Row,-1)))))))))))))))</f>
        <v>-1</v>
      </c>
      <c r="D59" s="88">
        <f t="shared" si="33"/>
        <v>-1</v>
      </c>
      <c r="E59" s="87" cm="1">
        <f t="array" ref="E59">1*OR(row_id=Einkommen_Header_Row,row_id=Fixkosten_Header_Row,row_id=Variablekosten_Header_Row,row_id=Investment_Header_Row)</f>
        <v>0</v>
      </c>
      <c r="F59" s="86">
        <f t="shared" si="17"/>
        <v>0</v>
      </c>
      <c r="G59" s="86" cm="1">
        <f t="array" ref="G59">1*OR(row_id=Einkommen_Total_Row,row_id=Fixkosten_Total_Row,row_id=Variablekosten_Total_row,row_id=Investment_Total_Row)</f>
        <v>0</v>
      </c>
      <c r="H59" s="86">
        <f t="shared" si="18"/>
        <v>1</v>
      </c>
      <c r="I59" s="87" t="str" cm="1">
        <f t="array" ref="I59">IFERROR(INDEX('Budget Planning'!$C:$C,header_row_id),"")</f>
        <v/>
      </c>
      <c r="J59" s="86" t="str" cm="1">
        <f t="array" ref="J59">IFERROR(INDEX('Budget Planning'!$C:$C,row_id),"")</f>
        <v/>
      </c>
      <c r="K59" s="89" t="str" cm="1">
        <f t="array" ref="K59">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59" s="90" t="str" cm="1">
        <f t="array" ref="L59">IF(OR(is_header,is_empty),"",
INDEX('Budget Planning'!$E:$FA,row_id,
MATCH(IF(selected_period="Jahresübersicht",selected_year,DATE(selected_year,selected_period,1)),'Budget Planning'!$E$9:$FA$9,0)))</f>
        <v/>
      </c>
      <c r="M59" s="91" t="str" cm="1">
        <f t="array" ref="M59">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59" s="92" t="str" cm="1">
        <f t="array" ref="N59">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59" s="91" t="str">
        <f t="shared" si="19"/>
        <v/>
      </c>
      <c r="P59" s="6" t="str">
        <f t="shared" ca="1" si="20"/>
        <v/>
      </c>
      <c r="Q59" s="6" t="str">
        <f t="shared" si="21"/>
        <v/>
      </c>
      <c r="R59" s="92" t="str">
        <f t="shared" ca="1" si="22"/>
        <v/>
      </c>
      <c r="S59" s="91" t="str">
        <f t="shared" si="23"/>
        <v/>
      </c>
      <c r="T59" s="6" t="str">
        <f t="shared" si="24"/>
        <v/>
      </c>
      <c r="U59" s="6" t="str">
        <f t="shared" ca="1" si="25"/>
        <v/>
      </c>
      <c r="V59" s="6" t="str">
        <f t="shared" si="26"/>
        <v/>
      </c>
      <c r="W59" s="6" t="str">
        <f t="shared" ca="1" si="27"/>
        <v/>
      </c>
      <c r="X59" s="93">
        <f t="shared" si="28"/>
        <v>-1</v>
      </c>
      <c r="Y59" s="86" t="str">
        <f t="shared" si="29"/>
        <v/>
      </c>
      <c r="Z59" s="95" t="str">
        <f t="shared" si="30"/>
        <v/>
      </c>
      <c r="AA59" s="95" t="str">
        <f t="shared" si="31"/>
        <v/>
      </c>
      <c r="AB59" s="94" t="str" cm="1">
        <f t="array" ref="AB59">IF(is_empty,"",IF(is_header,"% Compl.", IFERROR(out_tracked/out_budget,"-")))</f>
        <v/>
      </c>
      <c r="AC59" s="95" t="str" cm="1">
        <f t="array" ref="AC59">IF(is_empty,"", IF(is_header, "Remaining", IF(out_budget - out_tracked &gt; 0, out_budget - out_tracked,0)))</f>
        <v/>
      </c>
      <c r="AD59" s="95" t="str">
        <f t="shared" si="32"/>
        <v/>
      </c>
    </row>
    <row r="60" spans="3:30" x14ac:dyDescent="0.3">
      <c r="C60" s="87" cm="1">
        <f t="array" ref="C60">IF(C59=-1,-1,
  IF(C59&lt;Einkommen_Max_Row,C59+1,
   IF(C59=Einkommen_Max_Row,Einkommen_Total_Row,
    IF(C59=Einkommen_Total_Row,"/1",
     IF(C59="/1",Fixkosten_Header_Row,
      IF(C59&lt;Fixkosten_Max_Row,C59+1,
       IF(C59=Fixkosten_Max_Row,Fixkosten_Total_Row,
        IF(C59=Fixkosten_Total_Row,"/2",
         IF(C59="/2",Variablekosten_Header_Row,
          IF(C59&lt;Variablekosten_Max_Row,C59+1,
           IF(C59=Variablekosten_Max_Row,Variablekosten_Total_row,
            IF(C59=Variablekosten_Total_row,"/3",
             IF(C59="/3",Investment_Header_Row,
              IF(C59&lt;Investment_Max_Row,C59+1,
               IF(C59=Investment_Max_Row,Investment_Total_Row,-1)))))))))))))))</f>
        <v>-1</v>
      </c>
      <c r="D60" s="88">
        <f t="shared" si="33"/>
        <v>-1</v>
      </c>
      <c r="E60" s="87" cm="1">
        <f t="array" ref="E60">1*OR(row_id=Einkommen_Header_Row,row_id=Fixkosten_Header_Row,row_id=Variablekosten_Header_Row,row_id=Investment_Header_Row)</f>
        <v>0</v>
      </c>
      <c r="F60" s="86">
        <f t="shared" si="17"/>
        <v>0</v>
      </c>
      <c r="G60" s="86" cm="1">
        <f t="array" ref="G60">1*OR(row_id=Einkommen_Total_Row,row_id=Fixkosten_Total_Row,row_id=Variablekosten_Total_row,row_id=Investment_Total_Row)</f>
        <v>0</v>
      </c>
      <c r="H60" s="86">
        <f t="shared" si="18"/>
        <v>1</v>
      </c>
      <c r="I60" s="87" t="str" cm="1">
        <f t="array" ref="I60">IFERROR(INDEX('Budget Planning'!$C:$C,header_row_id),"")</f>
        <v/>
      </c>
      <c r="J60" s="86" t="str" cm="1">
        <f t="array" ref="J60">IFERROR(INDEX('Budget Planning'!$C:$C,row_id),"")</f>
        <v/>
      </c>
      <c r="K60" s="89" t="str" cm="1">
        <f t="array" ref="K60">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0" s="90" t="str" cm="1">
        <f t="array" ref="L60">IF(OR(is_header,is_empty),"",
INDEX('Budget Planning'!$E:$FA,row_id,
MATCH(IF(selected_period="Jahresübersicht",selected_year,DATE(selected_year,selected_period,1)),'Budget Planning'!$E$9:$FA$9,0)))</f>
        <v/>
      </c>
      <c r="M60" s="91" t="str" cm="1">
        <f t="array" ref="M60">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0" s="92" t="str" cm="1">
        <f t="array" ref="N60">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0" s="91" t="str">
        <f t="shared" si="19"/>
        <v/>
      </c>
      <c r="P60" s="6" t="str">
        <f t="shared" ca="1" si="20"/>
        <v/>
      </c>
      <c r="Q60" s="6" t="str">
        <f t="shared" si="21"/>
        <v/>
      </c>
      <c r="R60" s="92" t="str">
        <f t="shared" ca="1" si="22"/>
        <v/>
      </c>
      <c r="S60" s="91" t="str">
        <f t="shared" si="23"/>
        <v/>
      </c>
      <c r="T60" s="6" t="str">
        <f t="shared" si="24"/>
        <v/>
      </c>
      <c r="U60" s="6" t="str">
        <f t="shared" ca="1" si="25"/>
        <v/>
      </c>
      <c r="V60" s="6" t="str">
        <f t="shared" si="26"/>
        <v/>
      </c>
      <c r="W60" s="6" t="str">
        <f t="shared" ca="1" si="27"/>
        <v/>
      </c>
      <c r="X60" s="93">
        <f t="shared" si="28"/>
        <v>-1</v>
      </c>
      <c r="Y60" s="86" t="str">
        <f t="shared" si="29"/>
        <v/>
      </c>
      <c r="Z60" s="95" t="str">
        <f t="shared" si="30"/>
        <v/>
      </c>
      <c r="AA60" s="95" t="str">
        <f t="shared" si="31"/>
        <v/>
      </c>
      <c r="AB60" s="94" t="str" cm="1">
        <f t="array" ref="AB60">IF(is_empty,"",IF(is_header,"% Compl.", IFERROR(out_tracked/out_budget,"-")))</f>
        <v/>
      </c>
      <c r="AC60" s="95" t="str" cm="1">
        <f t="array" ref="AC60">IF(is_empty,"", IF(is_header, "Remaining", IF(out_budget - out_tracked &gt; 0, out_budget - out_tracked,0)))</f>
        <v/>
      </c>
      <c r="AD60" s="95" t="str">
        <f t="shared" si="32"/>
        <v/>
      </c>
    </row>
    <row r="61" spans="3:30" x14ac:dyDescent="0.3">
      <c r="C61" s="87" cm="1">
        <f t="array" ref="C61">IF(C60=-1,-1,
  IF(C60&lt;Einkommen_Max_Row,C60+1,
   IF(C60=Einkommen_Max_Row,Einkommen_Total_Row,
    IF(C60=Einkommen_Total_Row,"/1",
     IF(C60="/1",Fixkosten_Header_Row,
      IF(C60&lt;Fixkosten_Max_Row,C60+1,
       IF(C60=Fixkosten_Max_Row,Fixkosten_Total_Row,
        IF(C60=Fixkosten_Total_Row,"/2",
         IF(C60="/2",Variablekosten_Header_Row,
          IF(C60&lt;Variablekosten_Max_Row,C60+1,
           IF(C60=Variablekosten_Max_Row,Variablekosten_Total_row,
            IF(C60=Variablekosten_Total_row,"/3",
             IF(C60="/3",Investment_Header_Row,
              IF(C60&lt;Investment_Max_Row,C60+1,
               IF(C60=Investment_Max_Row,Investment_Total_Row,-1)))))))))))))))</f>
        <v>-1</v>
      </c>
      <c r="D61" s="88">
        <f t="shared" si="33"/>
        <v>-1</v>
      </c>
      <c r="E61" s="87" cm="1">
        <f t="array" ref="E61">1*OR(row_id=Einkommen_Header_Row,row_id=Fixkosten_Header_Row,row_id=Variablekosten_Header_Row,row_id=Investment_Header_Row)</f>
        <v>0</v>
      </c>
      <c r="F61" s="86">
        <f t="shared" si="17"/>
        <v>0</v>
      </c>
      <c r="G61" s="86" cm="1">
        <f t="array" ref="G61">1*OR(row_id=Einkommen_Total_Row,row_id=Fixkosten_Total_Row,row_id=Variablekosten_Total_row,row_id=Investment_Total_Row)</f>
        <v>0</v>
      </c>
      <c r="H61" s="86">
        <f t="shared" si="18"/>
        <v>1</v>
      </c>
      <c r="I61" s="87" t="str" cm="1">
        <f t="array" ref="I61">IFERROR(INDEX('Budget Planning'!$C:$C,header_row_id),"")</f>
        <v/>
      </c>
      <c r="J61" s="86" t="str" cm="1">
        <f t="array" ref="J61">IFERROR(INDEX('Budget Planning'!$C:$C,row_id),"")</f>
        <v/>
      </c>
      <c r="K61" s="89" t="str" cm="1">
        <f t="array" ref="K61">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1" s="90" t="str" cm="1">
        <f t="array" ref="L61">IF(OR(is_header,is_empty),"",
INDEX('Budget Planning'!$E:$FA,row_id,
MATCH(IF(selected_period="Jahresübersicht",selected_year,DATE(selected_year,selected_period,1)),'Budget Planning'!$E$9:$FA$9,0)))</f>
        <v/>
      </c>
      <c r="M61" s="91" t="str" cm="1">
        <f t="array" ref="M61">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1" s="92" t="str" cm="1">
        <f t="array" ref="N61">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1" s="91" t="str">
        <f t="shared" si="19"/>
        <v/>
      </c>
      <c r="P61" s="6" t="str">
        <f t="shared" ca="1" si="20"/>
        <v/>
      </c>
      <c r="Q61" s="6" t="str">
        <f t="shared" si="21"/>
        <v/>
      </c>
      <c r="R61" s="92" t="str">
        <f t="shared" ca="1" si="22"/>
        <v/>
      </c>
      <c r="S61" s="91" t="str">
        <f t="shared" si="23"/>
        <v/>
      </c>
      <c r="T61" s="6" t="str">
        <f t="shared" si="24"/>
        <v/>
      </c>
      <c r="U61" s="6" t="str">
        <f t="shared" ca="1" si="25"/>
        <v/>
      </c>
      <c r="V61" s="6" t="str">
        <f t="shared" si="26"/>
        <v/>
      </c>
      <c r="W61" s="6" t="str">
        <f t="shared" ca="1" si="27"/>
        <v/>
      </c>
      <c r="X61" s="93">
        <f t="shared" si="28"/>
        <v>-1</v>
      </c>
      <c r="Y61" s="86" t="str">
        <f t="shared" si="29"/>
        <v/>
      </c>
      <c r="Z61" s="95" t="str">
        <f t="shared" si="30"/>
        <v/>
      </c>
      <c r="AA61" s="95" t="str">
        <f t="shared" si="31"/>
        <v/>
      </c>
      <c r="AB61" s="94" t="str" cm="1">
        <f t="array" ref="AB61">IF(is_empty,"",IF(is_header,"% Compl.", IFERROR(out_tracked/out_budget,"-")))</f>
        <v/>
      </c>
      <c r="AC61" s="95" t="str" cm="1">
        <f t="array" ref="AC61">IF(is_empty,"", IF(is_header, "Remaining", IF(out_budget - out_tracked &gt; 0, out_budget - out_tracked,0)))</f>
        <v/>
      </c>
      <c r="AD61" s="95" t="str">
        <f t="shared" si="32"/>
        <v/>
      </c>
    </row>
    <row r="62" spans="3:30" x14ac:dyDescent="0.3">
      <c r="C62" s="87" cm="1">
        <f t="array" ref="C62">IF(C61=-1,-1,
  IF(C61&lt;Einkommen_Max_Row,C61+1,
   IF(C61=Einkommen_Max_Row,Einkommen_Total_Row,
    IF(C61=Einkommen_Total_Row,"/1",
     IF(C61="/1",Fixkosten_Header_Row,
      IF(C61&lt;Fixkosten_Max_Row,C61+1,
       IF(C61=Fixkosten_Max_Row,Fixkosten_Total_Row,
        IF(C61=Fixkosten_Total_Row,"/2",
         IF(C61="/2",Variablekosten_Header_Row,
          IF(C61&lt;Variablekosten_Max_Row,C61+1,
           IF(C61=Variablekosten_Max_Row,Variablekosten_Total_row,
            IF(C61=Variablekosten_Total_row,"/3",
             IF(C61="/3",Investment_Header_Row,
              IF(C61&lt;Investment_Max_Row,C61+1,
               IF(C61=Investment_Max_Row,Investment_Total_Row,-1)))))))))))))))</f>
        <v>-1</v>
      </c>
      <c r="D62" s="88">
        <f t="shared" si="33"/>
        <v>-1</v>
      </c>
      <c r="E62" s="87" cm="1">
        <f t="array" ref="E62">1*OR(row_id=Einkommen_Header_Row,row_id=Fixkosten_Header_Row,row_id=Variablekosten_Header_Row,row_id=Investment_Header_Row)</f>
        <v>0</v>
      </c>
      <c r="F62" s="86">
        <f t="shared" si="17"/>
        <v>0</v>
      </c>
      <c r="G62" s="86" cm="1">
        <f t="array" ref="G62">1*OR(row_id=Einkommen_Total_Row,row_id=Fixkosten_Total_Row,row_id=Variablekosten_Total_row,row_id=Investment_Total_Row)</f>
        <v>0</v>
      </c>
      <c r="H62" s="86">
        <f t="shared" si="18"/>
        <v>1</v>
      </c>
      <c r="I62" s="87" t="str" cm="1">
        <f t="array" ref="I62">IFERROR(INDEX('Budget Planning'!$C:$C,header_row_id),"")</f>
        <v/>
      </c>
      <c r="J62" s="86" t="str" cm="1">
        <f t="array" ref="J62">IFERROR(INDEX('Budget Planning'!$C:$C,row_id),"")</f>
        <v/>
      </c>
      <c r="K62" s="89" t="str" cm="1">
        <f t="array" ref="K62">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2" s="90" t="str" cm="1">
        <f t="array" ref="L62">IF(OR(is_header,is_empty),"",
INDEX('Budget Planning'!$E:$FA,row_id,
MATCH(IF(selected_period="Jahresübersicht",selected_year,DATE(selected_year,selected_period,1)),'Budget Planning'!$E$9:$FA$9,0)))</f>
        <v/>
      </c>
      <c r="M62" s="91" t="str" cm="1">
        <f t="array" ref="M62">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2" s="92" t="str" cm="1">
        <f t="array" ref="N62">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2" s="91" t="str">
        <f t="shared" si="19"/>
        <v/>
      </c>
      <c r="P62" s="6" t="str">
        <f t="shared" ca="1" si="20"/>
        <v/>
      </c>
      <c r="Q62" s="6" t="str">
        <f t="shared" si="21"/>
        <v/>
      </c>
      <c r="R62" s="92" t="str">
        <f t="shared" ca="1" si="22"/>
        <v/>
      </c>
      <c r="S62" s="91" t="str">
        <f t="shared" si="23"/>
        <v/>
      </c>
      <c r="T62" s="6" t="str">
        <f t="shared" si="24"/>
        <v/>
      </c>
      <c r="U62" s="6" t="str">
        <f t="shared" ca="1" si="25"/>
        <v/>
      </c>
      <c r="V62" s="6" t="str">
        <f t="shared" si="26"/>
        <v/>
      </c>
      <c r="W62" s="6" t="str">
        <f t="shared" ca="1" si="27"/>
        <v/>
      </c>
      <c r="X62" s="93">
        <f t="shared" si="28"/>
        <v>-1</v>
      </c>
      <c r="Y62" s="86" t="str">
        <f t="shared" si="29"/>
        <v/>
      </c>
      <c r="Z62" s="95" t="str">
        <f t="shared" si="30"/>
        <v/>
      </c>
      <c r="AA62" s="95" t="str">
        <f t="shared" si="31"/>
        <v/>
      </c>
      <c r="AB62" s="94" t="str" cm="1">
        <f t="array" ref="AB62">IF(is_empty,"",IF(is_header,"% Compl.", IFERROR(out_tracked/out_budget,"-")))</f>
        <v/>
      </c>
      <c r="AC62" s="95" t="str" cm="1">
        <f t="array" ref="AC62">IF(is_empty,"", IF(is_header, "Remaining", IF(out_budget - out_tracked &gt; 0, out_budget - out_tracked,0)))</f>
        <v/>
      </c>
      <c r="AD62" s="95" t="str">
        <f t="shared" si="32"/>
        <v/>
      </c>
    </row>
    <row r="63" spans="3:30" x14ac:dyDescent="0.3">
      <c r="C63" s="87" cm="1">
        <f t="array" ref="C63">IF(C62=-1,-1,
  IF(C62&lt;Einkommen_Max_Row,C62+1,
   IF(C62=Einkommen_Max_Row,Einkommen_Total_Row,
    IF(C62=Einkommen_Total_Row,"/1",
     IF(C62="/1",Fixkosten_Header_Row,
      IF(C62&lt;Fixkosten_Max_Row,C62+1,
       IF(C62=Fixkosten_Max_Row,Fixkosten_Total_Row,
        IF(C62=Fixkosten_Total_Row,"/2",
         IF(C62="/2",Variablekosten_Header_Row,
          IF(C62&lt;Variablekosten_Max_Row,C62+1,
           IF(C62=Variablekosten_Max_Row,Variablekosten_Total_row,
            IF(C62=Variablekosten_Total_row,"/3",
             IF(C62="/3",Investment_Header_Row,
              IF(C62&lt;Investment_Max_Row,C62+1,
               IF(C62=Investment_Max_Row,Investment_Total_Row,-1)))))))))))))))</f>
        <v>-1</v>
      </c>
      <c r="D63" s="88">
        <f t="shared" si="33"/>
        <v>-1</v>
      </c>
      <c r="E63" s="87" cm="1">
        <f t="array" ref="E63">1*OR(row_id=Einkommen_Header_Row,row_id=Fixkosten_Header_Row,row_id=Variablekosten_Header_Row,row_id=Investment_Header_Row)</f>
        <v>0</v>
      </c>
      <c r="F63" s="86">
        <f t="shared" si="17"/>
        <v>0</v>
      </c>
      <c r="G63" s="86" cm="1">
        <f t="array" ref="G63">1*OR(row_id=Einkommen_Total_Row,row_id=Fixkosten_Total_Row,row_id=Variablekosten_Total_row,row_id=Investment_Total_Row)</f>
        <v>0</v>
      </c>
      <c r="H63" s="86">
        <f t="shared" si="18"/>
        <v>1</v>
      </c>
      <c r="I63" s="87" t="str" cm="1">
        <f t="array" ref="I63">IFERROR(INDEX('Budget Planning'!$C:$C,header_row_id),"")</f>
        <v/>
      </c>
      <c r="J63" s="86" t="str" cm="1">
        <f t="array" ref="J63">IFERROR(INDEX('Budget Planning'!$C:$C,row_id),"")</f>
        <v/>
      </c>
      <c r="K63" s="89" t="str" cm="1">
        <f t="array" ref="K6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63" s="90" t="str" cm="1">
        <f t="array" ref="L63">IF(OR(is_header,is_empty),"",
INDEX('Budget Planning'!$E:$FA,row_id,
MATCH(IF(selected_period="Jahresübersicht",selected_year,DATE(selected_year,selected_period,1)),'Budget Planning'!$E$9:$FA$9,0)))</f>
        <v/>
      </c>
      <c r="M63" s="91" t="str" cm="1">
        <f t="array" ref="M63">IF(is_cat,
  IF(header_row_id=Einkommen_Header_Row, MATCH(Einkommen_Min_Row, $C:$C, 0),
  IF(header_row_id=Fixkosten_Header_Row, MATCH(Fixkosten_Min_Row, $C:$C, 0),
  IF(header_row_id=Variablekosten_Header_Row, MATCH(Variablekosten_Min_Zeile, $C:$C, 0),
  IF(header_row_id=Investment_Header_Row, MATCH(Investment_Min_Row, $C:$C, 0),
  "")))),
"")</f>
        <v/>
      </c>
      <c r="N63" s="92" t="str" cm="1">
        <f t="array" ref="N63">IF(is_cat,
  IF(header_row_id=Einkommen_Header_Row, MATCH(Einkommen_Max_Row, $C:$C, 0),
  IF(header_row_id=Fixkosten_Header_Row, MATCH(Fixkosten_Max_Row, $C:$C, 0),
  IF(header_row_id=Variablekosten_Header_Row, MATCH(Variablekosten_Max_Row, $C:$C, 0),
  IF(header_row_id=Investment_Header_Row, MATCH(Investment_Max_Row, $C:$C, 0),
  "")))),"")</f>
        <v/>
      </c>
      <c r="O63" s="91" t="str">
        <f t="shared" si="19"/>
        <v/>
      </c>
      <c r="P63" s="6" t="str">
        <f t="shared" ca="1" si="20"/>
        <v/>
      </c>
      <c r="Q63" s="6" t="str">
        <f t="shared" si="21"/>
        <v/>
      </c>
      <c r="R63" s="92" t="str">
        <f t="shared" ca="1" si="22"/>
        <v/>
      </c>
      <c r="S63" s="91" t="str">
        <f t="shared" si="23"/>
        <v/>
      </c>
      <c r="T63" s="6" t="str">
        <f t="shared" si="24"/>
        <v/>
      </c>
      <c r="U63" s="6" t="str">
        <f t="shared" ca="1" si="25"/>
        <v/>
      </c>
      <c r="V63" s="6" t="str">
        <f t="shared" si="26"/>
        <v/>
      </c>
      <c r="W63" s="6" t="str">
        <f t="shared" ca="1" si="27"/>
        <v/>
      </c>
      <c r="X63" s="93">
        <f t="shared" si="28"/>
        <v>-1</v>
      </c>
      <c r="Y63" s="86" t="str">
        <f t="shared" si="29"/>
        <v/>
      </c>
      <c r="Z63" s="95" t="str">
        <f t="shared" si="30"/>
        <v/>
      </c>
      <c r="AA63" s="95" t="str">
        <f t="shared" si="31"/>
        <v/>
      </c>
      <c r="AB63" s="94" t="str" cm="1">
        <f t="array" ref="AB63">IF(is_empty,"",IF(is_header,"% Compl.", IFERROR(out_tracked/out_budget,"-")))</f>
        <v/>
      </c>
      <c r="AC63" s="95" t="str" cm="1">
        <f t="array" ref="AC63">IF(is_empty,"", IF(is_header, "Remaining", IF(out_budget - out_tracked &gt; 0, out_budget - out_tracked,0)))</f>
        <v/>
      </c>
      <c r="AD63" s="95" t="str">
        <f t="shared" si="32"/>
        <v/>
      </c>
    </row>
  </sheetData>
  <mergeCells count="11">
    <mergeCell ref="AT11:BF11"/>
    <mergeCell ref="BH11:BQ11"/>
    <mergeCell ref="A1:Y3"/>
    <mergeCell ref="Y11:AD11"/>
    <mergeCell ref="AF11:AR11"/>
    <mergeCell ref="AQ5:AR5"/>
    <mergeCell ref="AQ6:AR6"/>
    <mergeCell ref="AN6:AP6"/>
    <mergeCell ref="AQ8:AR8"/>
    <mergeCell ref="AQ9:AR9"/>
    <mergeCell ref="AN8:AP8"/>
  </mergeCells>
  <phoneticPr fontId="8" type="noConversion"/>
  <conditionalFormatting sqref="Y13:AD63">
    <cfRule type="expression" dxfId="28" priority="25" stopIfTrue="1">
      <formula>row_id=Einkommen_Header_Row</formula>
    </cfRule>
    <cfRule type="expression" dxfId="27" priority="26" stopIfTrue="1">
      <formula>row_id=Fixkosten_Header_Row</formula>
    </cfRule>
    <cfRule type="expression" dxfId="26" priority="27" stopIfTrue="1">
      <formula>row_id=Variablekosten_Header_Row</formula>
    </cfRule>
    <cfRule type="expression" dxfId="25" priority="28" stopIfTrue="1">
      <formula>row_id=Investment_Header_Row</formula>
    </cfRule>
    <cfRule type="expression" dxfId="24" priority="29" stopIfTrue="1">
      <formula>is_total</formula>
    </cfRule>
  </conditionalFormatting>
  <conditionalFormatting sqref="AB13:AB63">
    <cfRule type="dataBar" priority="30">
      <dataBar>
        <cfvo type="num" val="0"/>
        <cfvo type="num" val="1"/>
        <color theme="0" tint="-0.14999847407452621"/>
      </dataBar>
      <extLst>
        <ext xmlns:x14="http://schemas.microsoft.com/office/spreadsheetml/2009/9/main" uri="{B025F937-C7B1-47D3-B67F-A62EFF666E3E}">
          <x14:id>{0938161B-7072-4414-A58D-39FC02883EB5}</x14:id>
        </ext>
      </extLst>
    </cfRule>
  </conditionalFormatting>
  <conditionalFormatting sqref="AH16">
    <cfRule type="expression" dxfId="23" priority="19">
      <formula>AI16&lt;&gt;""</formula>
    </cfRule>
  </conditionalFormatting>
  <conditionalFormatting sqref="AH17">
    <cfRule type="expression" dxfId="22" priority="20">
      <formula>AI17&lt;&gt;""</formula>
    </cfRule>
  </conditionalFormatting>
  <conditionalFormatting sqref="AH18">
    <cfRule type="expression" dxfId="21" priority="21">
      <formula>AI18&lt;&gt;""</formula>
    </cfRule>
  </conditionalFormatting>
  <conditionalFormatting sqref="AH19">
    <cfRule type="expression" dxfId="20" priority="22">
      <formula>AI19&lt;&gt;""</formula>
    </cfRule>
  </conditionalFormatting>
  <conditionalFormatting sqref="AH20">
    <cfRule type="expression" dxfId="19" priority="23">
      <formula>AI20&lt;&gt;""</formula>
    </cfRule>
  </conditionalFormatting>
  <conditionalFormatting sqref="AH21">
    <cfRule type="expression" dxfId="18" priority="24">
      <formula>AI21&lt;&gt;""</formula>
    </cfRule>
  </conditionalFormatting>
  <conditionalFormatting sqref="AH30">
    <cfRule type="expression" dxfId="17" priority="13">
      <formula>AI30&lt;&gt;""</formula>
    </cfRule>
  </conditionalFormatting>
  <conditionalFormatting sqref="AH31">
    <cfRule type="expression" dxfId="16" priority="14">
      <formula>AI31&lt;&gt;""</formula>
    </cfRule>
  </conditionalFormatting>
  <conditionalFormatting sqref="AH32">
    <cfRule type="expression" dxfId="15" priority="15">
      <formula>AI32&lt;&gt;""</formula>
    </cfRule>
  </conditionalFormatting>
  <conditionalFormatting sqref="AH33">
    <cfRule type="expression" dxfId="14" priority="16">
      <formula>AI33&lt;&gt;""</formula>
    </cfRule>
  </conditionalFormatting>
  <conditionalFormatting sqref="AH34">
    <cfRule type="expression" dxfId="13" priority="17">
      <formula>AI34&lt;&gt;""</formula>
    </cfRule>
  </conditionalFormatting>
  <conditionalFormatting sqref="AH35">
    <cfRule type="expression" dxfId="12" priority="18">
      <formula>AI35&lt;&gt;""</formula>
    </cfRule>
  </conditionalFormatting>
  <conditionalFormatting sqref="AO16">
    <cfRule type="expression" dxfId="11" priority="7">
      <formula>AP16&lt;&gt;""</formula>
    </cfRule>
  </conditionalFormatting>
  <conditionalFormatting sqref="AO17">
    <cfRule type="expression" dxfId="10" priority="8">
      <formula>AP17&lt;&gt;""</formula>
    </cfRule>
  </conditionalFormatting>
  <conditionalFormatting sqref="AO18">
    <cfRule type="expression" dxfId="9" priority="9">
      <formula>AP18&lt;&gt;""</formula>
    </cfRule>
  </conditionalFormatting>
  <conditionalFormatting sqref="AO19">
    <cfRule type="expression" dxfId="8" priority="10">
      <formula>AP19&lt;&gt;""</formula>
    </cfRule>
  </conditionalFormatting>
  <conditionalFormatting sqref="AO20">
    <cfRule type="expression" dxfId="7" priority="11">
      <formula>AP20&lt;&gt;""</formula>
    </cfRule>
  </conditionalFormatting>
  <conditionalFormatting sqref="AO21">
    <cfRule type="expression" dxfId="6" priority="12">
      <formula>AP21&lt;&gt;""</formula>
    </cfRule>
  </conditionalFormatting>
  <conditionalFormatting sqref="AO30">
    <cfRule type="expression" dxfId="5" priority="1">
      <formula>AP30&lt;&gt;""</formula>
    </cfRule>
  </conditionalFormatting>
  <conditionalFormatting sqref="AO31">
    <cfRule type="expression" dxfId="4" priority="2">
      <formula>AP31&lt;&gt;""</formula>
    </cfRule>
  </conditionalFormatting>
  <conditionalFormatting sqref="AO32">
    <cfRule type="expression" dxfId="3" priority="3">
      <formula>AP32&lt;&gt;""</formula>
    </cfRule>
  </conditionalFormatting>
  <conditionalFormatting sqref="AO33">
    <cfRule type="expression" dxfId="2" priority="4">
      <formula>AP33&lt;&gt;""</formula>
    </cfRule>
  </conditionalFormatting>
  <conditionalFormatting sqref="AO34">
    <cfRule type="expression" dxfId="1" priority="5">
      <formula>AP34&lt;&gt;""</formula>
    </cfRule>
  </conditionalFormatting>
  <conditionalFormatting sqref="AO35">
    <cfRule type="expression" dxfId="0" priority="6">
      <formula>AP35&lt;&gt;""</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4" r:id="rId3" name="Check Box 2">
              <controlPr defaultSize="0" autoFill="0" autoLine="0" autoPict="0">
                <anchor moveWithCells="1">
                  <from>
                    <xdr:col>56</xdr:col>
                    <xdr:colOff>198120</xdr:colOff>
                    <xdr:row>12</xdr:row>
                    <xdr:rowOff>38100</xdr:rowOff>
                  </from>
                  <to>
                    <xdr:col>57</xdr:col>
                    <xdr:colOff>556260</xdr:colOff>
                    <xdr:row>13</xdr:row>
                    <xdr:rowOff>60960</xdr:rowOff>
                  </to>
                </anchor>
              </controlPr>
            </control>
          </mc:Choice>
        </mc:AlternateContent>
        <mc:AlternateContent xmlns:mc="http://schemas.openxmlformats.org/markup-compatibility/2006">
          <mc:Choice Requires="x14">
            <control shapeId="8195" r:id="rId4" name="Check Box 3">
              <controlPr defaultSize="0" autoFill="0" autoLine="0" autoPict="0">
                <anchor moveWithCells="1">
                  <from>
                    <xdr:col>56</xdr:col>
                    <xdr:colOff>198120</xdr:colOff>
                    <xdr:row>13</xdr:row>
                    <xdr:rowOff>60960</xdr:rowOff>
                  </from>
                  <to>
                    <xdr:col>57</xdr:col>
                    <xdr:colOff>556260</xdr:colOff>
                    <xdr:row>14</xdr:row>
                    <xdr:rowOff>76200</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56</xdr:col>
                    <xdr:colOff>198120</xdr:colOff>
                    <xdr:row>14</xdr:row>
                    <xdr:rowOff>83820</xdr:rowOff>
                  </from>
                  <to>
                    <xdr:col>57</xdr:col>
                    <xdr:colOff>556260</xdr:colOff>
                    <xdr:row>15</xdr:row>
                    <xdr:rowOff>106680</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56</xdr:col>
                    <xdr:colOff>198120</xdr:colOff>
                    <xdr:row>15</xdr:row>
                    <xdr:rowOff>114300</xdr:rowOff>
                  </from>
                  <to>
                    <xdr:col>57</xdr:col>
                    <xdr:colOff>556260</xdr:colOff>
                    <xdr:row>16</xdr:row>
                    <xdr:rowOff>137160</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55</xdr:col>
                    <xdr:colOff>411480</xdr:colOff>
                    <xdr:row>12</xdr:row>
                    <xdr:rowOff>38100</xdr:rowOff>
                  </from>
                  <to>
                    <xdr:col>56</xdr:col>
                    <xdr:colOff>373380</xdr:colOff>
                    <xdr:row>13</xdr:row>
                    <xdr:rowOff>60960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938161B-7072-4414-A58D-39FC02883EB5}">
            <x14:dataBar minLength="0" maxLength="100" gradient="0">
              <x14:cfvo type="num">
                <xm:f>0</xm:f>
              </x14:cfvo>
              <x14:cfvo type="num">
                <xm:f>1</xm:f>
              </x14:cfvo>
              <x14:negativeFillColor rgb="FFFF0000"/>
              <x14:axisColor rgb="FF000000"/>
            </x14:dataBar>
          </x14:cfRule>
          <xm:sqref>AB13:AB63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1276D2B7-25F4-4441-8B52-C63B7F23D1DB}">
          <x14:formula1>
            <xm:f>'Dropdown Data'!$D$6:$D$21</xm:f>
          </x14:formula1>
          <xm:sqref>AQ6:AR6</xm:sqref>
        </x14:dataValidation>
        <x14:dataValidation type="list" allowBlank="1" showInputMessage="1" showErrorMessage="1" xr:uid="{9F97243C-81EC-402F-9E93-14B004F6B402}">
          <x14:formula1>
            <xm:f>'Dropdown Data'!$F$6:$F$19</xm:f>
          </x14:formula1>
          <xm:sqref>AQ9:AR9</xm:sqref>
        </x14:dataValidation>
      </x14:dataValidations>
    </ext>
    <ext xmlns:x14="http://schemas.microsoft.com/office/spreadsheetml/2009/9/main" uri="{A8765BA9-456A-4dab-B4F3-ACF838C121DE}">
      <x14:slicerList>
        <x14:slicer r:id="rId8"/>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30460-277F-4F5A-8A36-1D9B087E3136}">
  <sheetPr codeName="Tabelle9">
    <tabColor rgb="FFFFFF97"/>
  </sheetPr>
  <dimension ref="A1:C3"/>
  <sheetViews>
    <sheetView zoomScale="120" zoomScaleNormal="120" workbookViewId="0">
      <selection activeCell="E15" sqref="E15"/>
    </sheetView>
  </sheetViews>
  <sheetFormatPr baseColWidth="10" defaultColWidth="10.6640625" defaultRowHeight="14.4" x14ac:dyDescent="0.3"/>
  <sheetData>
    <row r="1" spans="1:3" s="39" customFormat="1" ht="15" customHeight="1" x14ac:dyDescent="0.7">
      <c r="A1" s="145" t="s">
        <v>73</v>
      </c>
      <c r="B1" s="145"/>
      <c r="C1" s="145"/>
    </row>
    <row r="2" spans="1:3" s="39" customFormat="1" ht="15" customHeight="1" x14ac:dyDescent="0.7">
      <c r="A2" s="145"/>
      <c r="B2" s="145"/>
      <c r="C2" s="145"/>
    </row>
    <row r="3" spans="1:3" s="39" customFormat="1" ht="15" customHeight="1" x14ac:dyDescent="0.7">
      <c r="A3" s="145"/>
      <c r="B3" s="145"/>
      <c r="C3" s="145"/>
    </row>
  </sheetData>
  <mergeCells count="1">
    <mergeCell ref="A1:C3"/>
  </mergeCells>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69DFD-4DEA-42C9-AC06-7BF0BF73CE75}">
  <sheetPr codeName="Tabelle11">
    <tabColor theme="7" tint="0.79998168889431442"/>
  </sheetPr>
  <dimension ref="A1:A3"/>
  <sheetViews>
    <sheetView workbookViewId="0">
      <selection activeCell="F13" sqref="F13"/>
    </sheetView>
  </sheetViews>
  <sheetFormatPr baseColWidth="10" defaultColWidth="10.6640625" defaultRowHeight="14.4" x14ac:dyDescent="0.3"/>
  <sheetData>
    <row r="1" spans="1:1" s="146" customFormat="1" x14ac:dyDescent="0.3">
      <c r="A1" s="145" t="s">
        <v>86</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8EDF5-FFA0-41EA-9155-81839F6B76F4}">
  <sheetPr codeName="Tabelle12">
    <tabColor theme="7" tint="0.79998168889431442"/>
  </sheetPr>
  <dimension ref="A1:A3"/>
  <sheetViews>
    <sheetView workbookViewId="0">
      <selection activeCell="E16" sqref="E16"/>
    </sheetView>
  </sheetViews>
  <sheetFormatPr baseColWidth="10" defaultColWidth="10.6640625" defaultRowHeight="14.4" x14ac:dyDescent="0.3"/>
  <sheetData>
    <row r="1" spans="1:1" s="146" customFormat="1" x14ac:dyDescent="0.3">
      <c r="A1" s="145" t="s">
        <v>84</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49FD2-1B02-4317-AC1F-183A744415B1}">
  <sheetPr codeName="Tabelle13">
    <tabColor theme="7" tint="0.79998168889431442"/>
  </sheetPr>
  <dimension ref="A1:A3"/>
  <sheetViews>
    <sheetView workbookViewId="0">
      <selection activeCell="F26" sqref="F26"/>
    </sheetView>
  </sheetViews>
  <sheetFormatPr baseColWidth="10" defaultColWidth="10.6640625" defaultRowHeight="14.4" x14ac:dyDescent="0.3"/>
  <sheetData>
    <row r="1" spans="1:1" s="146" customFormat="1" x14ac:dyDescent="0.3">
      <c r="A1" s="145" t="s">
        <v>87</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3579B-E996-48C7-B739-F46220DD57CD}">
  <sheetPr codeName="Tabelle10">
    <tabColor theme="7" tint="0.79998168889431442"/>
  </sheetPr>
  <dimension ref="A1:A3"/>
  <sheetViews>
    <sheetView zoomScale="120" zoomScaleNormal="120" workbookViewId="0">
      <selection sqref="A1:XFD3"/>
    </sheetView>
  </sheetViews>
  <sheetFormatPr baseColWidth="10" defaultColWidth="10.6640625" defaultRowHeight="14.4" x14ac:dyDescent="0.3"/>
  <cols>
    <col min="1" max="2" width="4.44140625" customWidth="1"/>
  </cols>
  <sheetData>
    <row r="1" spans="1:1" s="146" customFormat="1" x14ac:dyDescent="0.3">
      <c r="A1" s="145" t="s">
        <v>3</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A7FF4-1A68-44F0-8276-0E762DABBC3D}">
  <sheetPr codeName="Tabelle14">
    <tabColor theme="7" tint="0.79998168889431442"/>
  </sheetPr>
  <dimension ref="A1:A3"/>
  <sheetViews>
    <sheetView workbookViewId="0">
      <selection activeCell="O43" sqref="O43"/>
    </sheetView>
  </sheetViews>
  <sheetFormatPr baseColWidth="10" defaultColWidth="10.6640625" defaultRowHeight="14.4" x14ac:dyDescent="0.3"/>
  <sheetData>
    <row r="1" spans="1:1" s="146" customFormat="1" x14ac:dyDescent="0.3">
      <c r="A1" s="145" t="s">
        <v>85</v>
      </c>
    </row>
    <row r="2" spans="1:1" s="146" customFormat="1" x14ac:dyDescent="0.3"/>
    <row r="3" spans="1:1" s="146" customFormat="1" x14ac:dyDescent="0.3"/>
  </sheetData>
  <mergeCells count="1">
    <mergeCell ref="A1:XFD3"/>
  </mergeCells>
  <pageMargins left="0.7" right="0.7" top="0.78740157499999996" bottom="0.78740157499999996"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4E61A9A-86E2-49E6-A7D2-B8D6E87BD2B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43</vt:i4>
      </vt:variant>
    </vt:vector>
  </HeadingPairs>
  <TitlesOfParts>
    <vt:vector size="58" baseType="lpstr">
      <vt:lpstr>Home</vt:lpstr>
      <vt:lpstr>Data</vt:lpstr>
      <vt:lpstr>Dropdown Data</vt:lpstr>
      <vt:lpstr>Calculations</vt:lpstr>
      <vt:lpstr>Import</vt:lpstr>
      <vt:lpstr>Settings</vt:lpstr>
      <vt:lpstr>Budget Planning</vt:lpstr>
      <vt:lpstr>Budget Tracking</vt:lpstr>
      <vt:lpstr>Budget Dashboard</vt:lpstr>
      <vt:lpstr>Net Worth</vt:lpstr>
      <vt:lpstr>Cash</vt:lpstr>
      <vt:lpstr>ETF</vt:lpstr>
      <vt:lpstr>Bonds</vt:lpstr>
      <vt:lpstr>Krypto</vt:lpstr>
      <vt:lpstr>Housing</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Einkommens_Verschiebung_Starttag</vt:lpstr>
      <vt:lpstr>Einkommens_Verschiebung_Status</vt:lpstr>
      <vt:lpstr>'Budget Dashboard'!header_row_id</vt:lpstr>
      <vt:lpstr>Heutiger_Tag</vt:lpstr>
      <vt:lpstr>'Budget Dashboard'!is_cat</vt:lpstr>
      <vt:lpstr>'Budget Dashboard'!is_empty</vt:lpstr>
      <vt:lpstr>'Budget Dashboard'!is_header</vt:lpstr>
      <vt:lpstr>'Budget Dashboard'!is_total</vt:lpstr>
      <vt:lpstr>'Budget Dashboard'!item</vt:lpstr>
      <vt:lpstr>'Budget Dashboard'!out_budget</vt:lpstr>
      <vt:lpstr>'Budget Dashboard'!out_percebtage_completed</vt:lpstr>
      <vt:lpstr>'Budget Dashboard'!out_tracked</vt:lpstr>
      <vt:lpstr>'Budget Dashboard'!row_id</vt:lpstr>
      <vt:lpstr>savings_rate_calculation_type</vt:lpstr>
      <vt:lpstr>selected_period</vt:lpstr>
      <vt:lpstr>selected_period_display</vt:lpstr>
      <vt:lpstr>selected_year</vt:lpstr>
      <vt:lpstr>'Budget Dashboard'!sort_max_row</vt:lpstr>
      <vt:lpstr>'Budget Dashboard'!sort_min_row</vt:lpstr>
      <vt:lpstr>'Budget Dashboard'!sorted_row_id__Lookup</vt:lpstr>
      <vt:lpstr>start_jahr</vt:lpstr>
      <vt:lpstr>Status_KPI_Berechnung</vt:lpstr>
      <vt:lpstr>Sub_Diagramm_Tbl</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Siess</dc:creator>
  <cp:lastModifiedBy>Kevin Siess</cp:lastModifiedBy>
  <dcterms:created xsi:type="dcterms:W3CDTF">2025-06-09T13:38:20Z</dcterms:created>
  <dcterms:modified xsi:type="dcterms:W3CDTF">2026-03-14T16:39:04Z</dcterms:modified>
</cp:coreProperties>
</file>